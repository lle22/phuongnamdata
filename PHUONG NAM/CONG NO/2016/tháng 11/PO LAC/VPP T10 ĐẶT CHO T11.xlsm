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filterPrivacy="1" codeName="ThisWorkbook"/>
  <bookViews>
    <workbookView xWindow="240" yWindow="165" windowWidth="14805" windowHeight="7950" tabRatio="506"/>
  </bookViews>
  <sheets>
    <sheet name="PO GUI PHUNG" sheetId="9" r:id="rId1"/>
    <sheet name="PO IN RA TRINH KI" sheetId="7" r:id="rId2"/>
    <sheet name="LOC SO LUONG-TRINH KI" sheetId="14" r:id="rId3"/>
    <sheet name="THONG KE" sheetId="5" r:id="rId4"/>
    <sheet name="DATA" sheetId="6" r:id="rId5"/>
  </sheets>
  <definedNames>
    <definedName name="_xlnm._FilterDatabase" localSheetId="4" hidden="1">DATA!$A$1:$C$113</definedName>
    <definedName name="_xlnm._FilterDatabase" localSheetId="2" hidden="1">'LOC SO LUONG-TRINH KI'!$A$1:$C$192</definedName>
    <definedName name="_xlnm._FilterDatabase" localSheetId="0" hidden="1">'PO GUI PHUNG'!$A$14:$O$116</definedName>
    <definedName name="_xlnm._FilterDatabase" localSheetId="1" hidden="1">'PO IN RA TRINH KI'!$A$11:$H$112</definedName>
    <definedName name="_xlnm._FilterDatabase" localSheetId="3" hidden="1">'THONG KE'!$A$3:$AC$112</definedName>
    <definedName name="_xlnm.Print_Area" localSheetId="0">'PO GUI PHUNG'!$A$1:$O$138</definedName>
  </definedNames>
  <calcPr calcId="124519"/>
</workbook>
</file>

<file path=xl/calcChain.xml><?xml version="1.0" encoding="utf-8"?>
<calcChain xmlns="http://schemas.openxmlformats.org/spreadsheetml/2006/main">
  <c r="M116" i="9"/>
  <c r="O15"/>
  <c r="N15"/>
  <c r="M15"/>
  <c r="M17"/>
  <c r="N17" s="1"/>
  <c r="O17" s="1"/>
  <c r="M18"/>
  <c r="N18" s="1"/>
  <c r="M19"/>
  <c r="N19" s="1"/>
  <c r="O19" s="1"/>
  <c r="M20"/>
  <c r="N20" s="1"/>
  <c r="M21"/>
  <c r="N21" s="1"/>
  <c r="O21" s="1"/>
  <c r="M22"/>
  <c r="N22" s="1"/>
  <c r="M23"/>
  <c r="N23" s="1"/>
  <c r="O23" s="1"/>
  <c r="M24"/>
  <c r="N24" s="1"/>
  <c r="M25"/>
  <c r="N25" s="1"/>
  <c r="O25" s="1"/>
  <c r="M26"/>
  <c r="N26" s="1"/>
  <c r="M27"/>
  <c r="N27" s="1"/>
  <c r="O27" s="1"/>
  <c r="M28"/>
  <c r="N28" s="1"/>
  <c r="M29"/>
  <c r="N29" s="1"/>
  <c r="O29" s="1"/>
  <c r="M30"/>
  <c r="N30" s="1"/>
  <c r="M31"/>
  <c r="N31" s="1"/>
  <c r="O31" s="1"/>
  <c r="M32"/>
  <c r="N32" s="1"/>
  <c r="M33"/>
  <c r="N33" s="1"/>
  <c r="O33" s="1"/>
  <c r="M34"/>
  <c r="N34" s="1"/>
  <c r="M35"/>
  <c r="N35" s="1"/>
  <c r="O35" s="1"/>
  <c r="M36"/>
  <c r="N36" s="1"/>
  <c r="M37"/>
  <c r="N37" s="1"/>
  <c r="O37" s="1"/>
  <c r="M38"/>
  <c r="N38" s="1"/>
  <c r="M39"/>
  <c r="N39" s="1"/>
  <c r="O39" s="1"/>
  <c r="M40"/>
  <c r="N40" s="1"/>
  <c r="M41"/>
  <c r="N41" s="1"/>
  <c r="O41" s="1"/>
  <c r="M42"/>
  <c r="N42" s="1"/>
  <c r="M43"/>
  <c r="N43" s="1"/>
  <c r="O43" s="1"/>
  <c r="M44"/>
  <c r="N44" s="1"/>
  <c r="M45"/>
  <c r="N45" s="1"/>
  <c r="O45" s="1"/>
  <c r="M46"/>
  <c r="N46" s="1"/>
  <c r="M47"/>
  <c r="N47" s="1"/>
  <c r="O47" s="1"/>
  <c r="M48"/>
  <c r="N48" s="1"/>
  <c r="M49"/>
  <c r="N49" s="1"/>
  <c r="O49" s="1"/>
  <c r="M50"/>
  <c r="N50" s="1"/>
  <c r="M51"/>
  <c r="N51" s="1"/>
  <c r="O51" s="1"/>
  <c r="M52"/>
  <c r="N52" s="1"/>
  <c r="M53"/>
  <c r="N53" s="1"/>
  <c r="O53" s="1"/>
  <c r="M54"/>
  <c r="N54" s="1"/>
  <c r="M55"/>
  <c r="N55" s="1"/>
  <c r="O55" s="1"/>
  <c r="M56"/>
  <c r="N56" s="1"/>
  <c r="M57"/>
  <c r="N57" s="1"/>
  <c r="O57" s="1"/>
  <c r="M58"/>
  <c r="N58" s="1"/>
  <c r="M59"/>
  <c r="N59" s="1"/>
  <c r="O59" s="1"/>
  <c r="M60"/>
  <c r="N60" s="1"/>
  <c r="M61"/>
  <c r="N61" s="1"/>
  <c r="O61" s="1"/>
  <c r="M62"/>
  <c r="N62" s="1"/>
  <c r="M63"/>
  <c r="N63" s="1"/>
  <c r="O63" s="1"/>
  <c r="M64"/>
  <c r="N64" s="1"/>
  <c r="M65"/>
  <c r="N65" s="1"/>
  <c r="O65" s="1"/>
  <c r="M66"/>
  <c r="N66" s="1"/>
  <c r="M67"/>
  <c r="N67" s="1"/>
  <c r="O67" s="1"/>
  <c r="M68"/>
  <c r="N68" s="1"/>
  <c r="M69"/>
  <c r="N69" s="1"/>
  <c r="O69" s="1"/>
  <c r="M70"/>
  <c r="N70" s="1"/>
  <c r="M71"/>
  <c r="N71" s="1"/>
  <c r="O71" s="1"/>
  <c r="M72"/>
  <c r="N72" s="1"/>
  <c r="M73"/>
  <c r="N73" s="1"/>
  <c r="O73" s="1"/>
  <c r="M74"/>
  <c r="N74" s="1"/>
  <c r="M75"/>
  <c r="N75" s="1"/>
  <c r="O75" s="1"/>
  <c r="M76"/>
  <c r="N76" s="1"/>
  <c r="M77"/>
  <c r="N77" s="1"/>
  <c r="O77" s="1"/>
  <c r="M78"/>
  <c r="N78" s="1"/>
  <c r="M79"/>
  <c r="N79" s="1"/>
  <c r="O79" s="1"/>
  <c r="M80"/>
  <c r="N80" s="1"/>
  <c r="M81"/>
  <c r="N81" s="1"/>
  <c r="O81" s="1"/>
  <c r="M82"/>
  <c r="N82" s="1"/>
  <c r="M83"/>
  <c r="N83" s="1"/>
  <c r="O83" s="1"/>
  <c r="M84"/>
  <c r="N84" s="1"/>
  <c r="M85"/>
  <c r="N85" s="1"/>
  <c r="O85" s="1"/>
  <c r="M86"/>
  <c r="N86" s="1"/>
  <c r="M87"/>
  <c r="N87" s="1"/>
  <c r="O87" s="1"/>
  <c r="M88"/>
  <c r="N88" s="1"/>
  <c r="M89"/>
  <c r="N89" s="1"/>
  <c r="O89" s="1"/>
  <c r="M90"/>
  <c r="N90" s="1"/>
  <c r="M91"/>
  <c r="N91" s="1"/>
  <c r="O91" s="1"/>
  <c r="M92"/>
  <c r="N92" s="1"/>
  <c r="M93"/>
  <c r="N93" s="1"/>
  <c r="O93" s="1"/>
  <c r="M94"/>
  <c r="N94" s="1"/>
  <c r="M95"/>
  <c r="N95" s="1"/>
  <c r="O95" s="1"/>
  <c r="M96"/>
  <c r="N96" s="1"/>
  <c r="M97"/>
  <c r="N97" s="1"/>
  <c r="O97" s="1"/>
  <c r="M98"/>
  <c r="N98" s="1"/>
  <c r="M99"/>
  <c r="N99" s="1"/>
  <c r="O99" s="1"/>
  <c r="M100"/>
  <c r="N100" s="1"/>
  <c r="M101"/>
  <c r="N101" s="1"/>
  <c r="O101" s="1"/>
  <c r="M102"/>
  <c r="N102" s="1"/>
  <c r="O102" s="1"/>
  <c r="M103"/>
  <c r="N103" s="1"/>
  <c r="O103" s="1"/>
  <c r="M104"/>
  <c r="N104"/>
  <c r="O104" s="1"/>
  <c r="M105"/>
  <c r="N105" s="1"/>
  <c r="O105" s="1"/>
  <c r="M106"/>
  <c r="N106" s="1"/>
  <c r="O106" s="1"/>
  <c r="M107"/>
  <c r="N107" s="1"/>
  <c r="M108"/>
  <c r="N108"/>
  <c r="O108" s="1"/>
  <c r="M109"/>
  <c r="N109" s="1"/>
  <c r="O109" s="1"/>
  <c r="M110"/>
  <c r="N110" s="1"/>
  <c r="O110" s="1"/>
  <c r="M111"/>
  <c r="N111" s="1"/>
  <c r="M112"/>
  <c r="N112"/>
  <c r="O112" s="1"/>
  <c r="M113"/>
  <c r="N113" s="1"/>
  <c r="O113" s="1"/>
  <c r="M114"/>
  <c r="N114" s="1"/>
  <c r="O114" s="1"/>
  <c r="M115"/>
  <c r="N115" s="1"/>
  <c r="M16"/>
  <c r="E13" i="7"/>
  <c r="F13" s="1"/>
  <c r="G13" s="1"/>
  <c r="E14"/>
  <c r="F14" s="1"/>
  <c r="G14" s="1"/>
  <c r="E15"/>
  <c r="F15" s="1"/>
  <c r="G15" s="1"/>
  <c r="E16"/>
  <c r="F16" s="1"/>
  <c r="G16" s="1"/>
  <c r="E17"/>
  <c r="F17" s="1"/>
  <c r="G17" s="1"/>
  <c r="E18"/>
  <c r="F18" s="1"/>
  <c r="G18" s="1"/>
  <c r="E19"/>
  <c r="F19" s="1"/>
  <c r="G19" s="1"/>
  <c r="E20"/>
  <c r="F20" s="1"/>
  <c r="G20" s="1"/>
  <c r="E21"/>
  <c r="F21" s="1"/>
  <c r="G21" s="1"/>
  <c r="E22"/>
  <c r="F22" s="1"/>
  <c r="G22" s="1"/>
  <c r="E23"/>
  <c r="F23" s="1"/>
  <c r="G23" s="1"/>
  <c r="E24"/>
  <c r="F24" s="1"/>
  <c r="G24" s="1"/>
  <c r="E25"/>
  <c r="F25" s="1"/>
  <c r="G25" s="1"/>
  <c r="E26"/>
  <c r="F26" s="1"/>
  <c r="G26" s="1"/>
  <c r="E27"/>
  <c r="F27" s="1"/>
  <c r="G27" s="1"/>
  <c r="E28"/>
  <c r="F28" s="1"/>
  <c r="G28" s="1"/>
  <c r="E29"/>
  <c r="F29" s="1"/>
  <c r="G29" s="1"/>
  <c r="E30"/>
  <c r="F30" s="1"/>
  <c r="G30" s="1"/>
  <c r="E31"/>
  <c r="F31" s="1"/>
  <c r="G31" s="1"/>
  <c r="E32"/>
  <c r="F32" s="1"/>
  <c r="G32" s="1"/>
  <c r="E33"/>
  <c r="F33" s="1"/>
  <c r="G33" s="1"/>
  <c r="E34"/>
  <c r="F34" s="1"/>
  <c r="G34" s="1"/>
  <c r="E35"/>
  <c r="F35" s="1"/>
  <c r="G35" s="1"/>
  <c r="E36"/>
  <c r="F36" s="1"/>
  <c r="G36" s="1"/>
  <c r="E37"/>
  <c r="F37" s="1"/>
  <c r="G37" s="1"/>
  <c r="E38"/>
  <c r="F38" s="1"/>
  <c r="G38" s="1"/>
  <c r="E39"/>
  <c r="F39" s="1"/>
  <c r="G39" s="1"/>
  <c r="E40"/>
  <c r="F40" s="1"/>
  <c r="G40" s="1"/>
  <c r="E41"/>
  <c r="F41" s="1"/>
  <c r="G41" s="1"/>
  <c r="E42"/>
  <c r="F42" s="1"/>
  <c r="G42" s="1"/>
  <c r="E43"/>
  <c r="F43" s="1"/>
  <c r="G43" s="1"/>
  <c r="E44"/>
  <c r="F44" s="1"/>
  <c r="G44" s="1"/>
  <c r="E45"/>
  <c r="F45" s="1"/>
  <c r="G45" s="1"/>
  <c r="E46"/>
  <c r="F46" s="1"/>
  <c r="G46" s="1"/>
  <c r="E47"/>
  <c r="F47" s="1"/>
  <c r="G47" s="1"/>
  <c r="E48"/>
  <c r="F48" s="1"/>
  <c r="G48" s="1"/>
  <c r="E49"/>
  <c r="F49" s="1"/>
  <c r="G49" s="1"/>
  <c r="E50"/>
  <c r="F50" s="1"/>
  <c r="G50" s="1"/>
  <c r="E51"/>
  <c r="F51" s="1"/>
  <c r="G51" s="1"/>
  <c r="E52"/>
  <c r="F52" s="1"/>
  <c r="G52" s="1"/>
  <c r="E53"/>
  <c r="F53" s="1"/>
  <c r="G53" s="1"/>
  <c r="E54"/>
  <c r="F54" s="1"/>
  <c r="G54" s="1"/>
  <c r="E55"/>
  <c r="F55" s="1"/>
  <c r="G55" s="1"/>
  <c r="H55" s="1"/>
  <c r="E56"/>
  <c r="F56"/>
  <c r="G56" s="1"/>
  <c r="H56" s="1"/>
  <c r="E57"/>
  <c r="F57"/>
  <c r="G57" s="1"/>
  <c r="H57" s="1"/>
  <c r="E58"/>
  <c r="F58"/>
  <c r="G58" s="1"/>
  <c r="H58" s="1"/>
  <c r="E59"/>
  <c r="F59"/>
  <c r="G59" s="1"/>
  <c r="H59" s="1"/>
  <c r="E60"/>
  <c r="F60"/>
  <c r="G60" s="1"/>
  <c r="H60" s="1"/>
  <c r="E61"/>
  <c r="F61"/>
  <c r="G61" s="1"/>
  <c r="H61" s="1"/>
  <c r="E62"/>
  <c r="F62" s="1"/>
  <c r="G62" s="1"/>
  <c r="H62" s="1"/>
  <c r="E63"/>
  <c r="F63" s="1"/>
  <c r="G63" s="1"/>
  <c r="H63" s="1"/>
  <c r="E64"/>
  <c r="F64" s="1"/>
  <c r="G64" s="1"/>
  <c r="H64" s="1"/>
  <c r="E65"/>
  <c r="F65" s="1"/>
  <c r="G65" s="1"/>
  <c r="H65" s="1"/>
  <c r="E66"/>
  <c r="F66" s="1"/>
  <c r="G66" s="1"/>
  <c r="H66" s="1"/>
  <c r="E67"/>
  <c r="F67" s="1"/>
  <c r="G67" s="1"/>
  <c r="H67" s="1"/>
  <c r="E68"/>
  <c r="F68" s="1"/>
  <c r="G68" s="1"/>
  <c r="H68" s="1"/>
  <c r="E69"/>
  <c r="F69" s="1"/>
  <c r="G69" s="1"/>
  <c r="H69" s="1"/>
  <c r="E70"/>
  <c r="F70" s="1"/>
  <c r="G70" s="1"/>
  <c r="H70" s="1"/>
  <c r="E71"/>
  <c r="F71" s="1"/>
  <c r="G71" s="1"/>
  <c r="H71" s="1"/>
  <c r="E72"/>
  <c r="F72" s="1"/>
  <c r="G72" s="1"/>
  <c r="H72" s="1"/>
  <c r="E73"/>
  <c r="F73" s="1"/>
  <c r="G73" s="1"/>
  <c r="H73" s="1"/>
  <c r="E74"/>
  <c r="F74" s="1"/>
  <c r="G74" s="1"/>
  <c r="H74" s="1"/>
  <c r="E75"/>
  <c r="F75" s="1"/>
  <c r="G75" s="1"/>
  <c r="H75" s="1"/>
  <c r="E76"/>
  <c r="F76" s="1"/>
  <c r="G76" s="1"/>
  <c r="H76" s="1"/>
  <c r="E77"/>
  <c r="F77" s="1"/>
  <c r="G77" s="1"/>
  <c r="H77" s="1"/>
  <c r="E78"/>
  <c r="F78" s="1"/>
  <c r="G78" s="1"/>
  <c r="H78" s="1"/>
  <c r="E79"/>
  <c r="F79" s="1"/>
  <c r="G79" s="1"/>
  <c r="H79" s="1"/>
  <c r="E80"/>
  <c r="F80" s="1"/>
  <c r="G80" s="1"/>
  <c r="H80" s="1"/>
  <c r="E81"/>
  <c r="F81" s="1"/>
  <c r="G81" s="1"/>
  <c r="H81" s="1"/>
  <c r="E82"/>
  <c r="F82" s="1"/>
  <c r="G82" s="1"/>
  <c r="H82" s="1"/>
  <c r="E83"/>
  <c r="F83" s="1"/>
  <c r="G83" s="1"/>
  <c r="H83" s="1"/>
  <c r="E84"/>
  <c r="F84" s="1"/>
  <c r="G84" s="1"/>
  <c r="H84" s="1"/>
  <c r="E85"/>
  <c r="F85" s="1"/>
  <c r="G85" s="1"/>
  <c r="H85" s="1"/>
  <c r="E86"/>
  <c r="F86" s="1"/>
  <c r="G86" s="1"/>
  <c r="H86" s="1"/>
  <c r="E87"/>
  <c r="F87" s="1"/>
  <c r="G87" s="1"/>
  <c r="H87" s="1"/>
  <c r="E88"/>
  <c r="F88" s="1"/>
  <c r="G88" s="1"/>
  <c r="H88" s="1"/>
  <c r="E89"/>
  <c r="F89" s="1"/>
  <c r="G89" s="1"/>
  <c r="H89" s="1"/>
  <c r="E90"/>
  <c r="F90" s="1"/>
  <c r="G90" s="1"/>
  <c r="H90" s="1"/>
  <c r="E91"/>
  <c r="F91" s="1"/>
  <c r="G91" s="1"/>
  <c r="H91" s="1"/>
  <c r="E92"/>
  <c r="F92" s="1"/>
  <c r="G92" s="1"/>
  <c r="H92" s="1"/>
  <c r="E93"/>
  <c r="F93" s="1"/>
  <c r="G93" s="1"/>
  <c r="H93" s="1"/>
  <c r="E94"/>
  <c r="F94" s="1"/>
  <c r="G94" s="1"/>
  <c r="H94" s="1"/>
  <c r="E95"/>
  <c r="F95" s="1"/>
  <c r="G95" s="1"/>
  <c r="H95" s="1"/>
  <c r="E96"/>
  <c r="F96" s="1"/>
  <c r="G96" s="1"/>
  <c r="H96" s="1"/>
  <c r="E97"/>
  <c r="F97" s="1"/>
  <c r="G97" s="1"/>
  <c r="H97" s="1"/>
  <c r="E98"/>
  <c r="F98" s="1"/>
  <c r="G98" s="1"/>
  <c r="E99"/>
  <c r="F99" s="1"/>
  <c r="G99" s="1"/>
  <c r="E100"/>
  <c r="F100" s="1"/>
  <c r="G100" s="1"/>
  <c r="E101"/>
  <c r="F101" s="1"/>
  <c r="E102"/>
  <c r="F102" s="1"/>
  <c r="G102" s="1"/>
  <c r="E103"/>
  <c r="F103" s="1"/>
  <c r="G103" s="1"/>
  <c r="E104"/>
  <c r="F104" s="1"/>
  <c r="G104" s="1"/>
  <c r="E105"/>
  <c r="F105" s="1"/>
  <c r="E106"/>
  <c r="F106" s="1"/>
  <c r="G106" s="1"/>
  <c r="H106" s="1"/>
  <c r="E107"/>
  <c r="F107" s="1"/>
  <c r="G107" s="1"/>
  <c r="H107" s="1"/>
  <c r="E108"/>
  <c r="F108" s="1"/>
  <c r="G108" s="1"/>
  <c r="H108" s="1"/>
  <c r="E109"/>
  <c r="F109" s="1"/>
  <c r="G109" s="1"/>
  <c r="H109" s="1"/>
  <c r="E110"/>
  <c r="F110" s="1"/>
  <c r="G110" s="1"/>
  <c r="H110" s="1"/>
  <c r="E111"/>
  <c r="F111" s="1"/>
  <c r="G111" s="1"/>
  <c r="H111" s="1"/>
  <c r="E12"/>
  <c r="F12" s="1"/>
  <c r="O100" i="9" l="1"/>
  <c r="O98"/>
  <c r="O96"/>
  <c r="O94"/>
  <c r="O92"/>
  <c r="O90"/>
  <c r="O88"/>
  <c r="O86"/>
  <c r="O84"/>
  <c r="O82"/>
  <c r="O80"/>
  <c r="O78"/>
  <c r="O76"/>
  <c r="O74"/>
  <c r="O72"/>
  <c r="O70"/>
  <c r="O68"/>
  <c r="O66"/>
  <c r="O64"/>
  <c r="O62"/>
  <c r="O60"/>
  <c r="O58"/>
  <c r="O56"/>
  <c r="O54"/>
  <c r="O52"/>
  <c r="O50"/>
  <c r="O48"/>
  <c r="O46"/>
  <c r="O44"/>
  <c r="O42"/>
  <c r="O40"/>
  <c r="O38"/>
  <c r="O36"/>
  <c r="N16"/>
  <c r="N116" s="1"/>
  <c r="O34"/>
  <c r="O32"/>
  <c r="O30"/>
  <c r="O28"/>
  <c r="O26"/>
  <c r="O24"/>
  <c r="O22"/>
  <c r="O20"/>
  <c r="O18"/>
  <c r="G105" i="7"/>
  <c r="H105" s="1"/>
  <c r="G101"/>
  <c r="H101" s="1"/>
  <c r="H103"/>
  <c r="H99"/>
  <c r="F112"/>
  <c r="G12"/>
  <c r="G112" s="1"/>
  <c r="O111" i="9"/>
  <c r="O107"/>
  <c r="O115"/>
  <c r="H104" i="7"/>
  <c r="H102"/>
  <c r="H100"/>
  <c r="H98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O16" i="9" l="1"/>
  <c r="O116" s="1"/>
  <c r="H12" i="7"/>
  <c r="H112" s="1"/>
  <c r="AB117" i="5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AC202" s="1"/>
  <c r="L203"/>
  <c r="L204"/>
  <c r="AC204" s="1"/>
  <c r="L205"/>
  <c r="B117"/>
  <c r="C117"/>
  <c r="D117"/>
  <c r="B118"/>
  <c r="C118"/>
  <c r="D118"/>
  <c r="B119"/>
  <c r="C119"/>
  <c r="D119"/>
  <c r="B120"/>
  <c r="C120"/>
  <c r="D120"/>
  <c r="B121"/>
  <c r="C121"/>
  <c r="D121"/>
  <c r="B122"/>
  <c r="C122"/>
  <c r="D122"/>
  <c r="B123"/>
  <c r="C123"/>
  <c r="D123"/>
  <c r="B124"/>
  <c r="C124"/>
  <c r="D124"/>
  <c r="B125"/>
  <c r="C125"/>
  <c r="D125"/>
  <c r="B126"/>
  <c r="C126"/>
  <c r="D126"/>
  <c r="B127"/>
  <c r="C127"/>
  <c r="D127"/>
  <c r="B128"/>
  <c r="C128"/>
  <c r="D128"/>
  <c r="B129"/>
  <c r="C129"/>
  <c r="D129"/>
  <c r="B130"/>
  <c r="C130"/>
  <c r="D130"/>
  <c r="B131"/>
  <c r="C131"/>
  <c r="D131"/>
  <c r="B132"/>
  <c r="C132"/>
  <c r="D132"/>
  <c r="B133"/>
  <c r="C133"/>
  <c r="D133"/>
  <c r="B134"/>
  <c r="C134"/>
  <c r="D134"/>
  <c r="B135"/>
  <c r="C135"/>
  <c r="D135"/>
  <c r="B136"/>
  <c r="C136"/>
  <c r="D136"/>
  <c r="B137"/>
  <c r="C137"/>
  <c r="D137"/>
  <c r="B138"/>
  <c r="C138"/>
  <c r="D138"/>
  <c r="B139"/>
  <c r="C139"/>
  <c r="D139"/>
  <c r="B140"/>
  <c r="C140"/>
  <c r="D140"/>
  <c r="B141"/>
  <c r="C141"/>
  <c r="D141"/>
  <c r="B142"/>
  <c r="C142"/>
  <c r="D142"/>
  <c r="B143"/>
  <c r="C143"/>
  <c r="D143"/>
  <c r="B144"/>
  <c r="C144"/>
  <c r="D144"/>
  <c r="B145"/>
  <c r="C145"/>
  <c r="D145"/>
  <c r="B146"/>
  <c r="C146"/>
  <c r="D146"/>
  <c r="B147"/>
  <c r="C147"/>
  <c r="D147"/>
  <c r="B148"/>
  <c r="C148"/>
  <c r="D148"/>
  <c r="B149"/>
  <c r="C149"/>
  <c r="D149"/>
  <c r="B150"/>
  <c r="C150"/>
  <c r="D150"/>
  <c r="B151"/>
  <c r="C151"/>
  <c r="D151"/>
  <c r="B152"/>
  <c r="C152"/>
  <c r="D152"/>
  <c r="B153"/>
  <c r="C153"/>
  <c r="D153"/>
  <c r="B154"/>
  <c r="C154"/>
  <c r="D154"/>
  <c r="B155"/>
  <c r="C155"/>
  <c r="D155"/>
  <c r="B156"/>
  <c r="C156"/>
  <c r="D156"/>
  <c r="B157"/>
  <c r="C157"/>
  <c r="D157"/>
  <c r="B158"/>
  <c r="C158"/>
  <c r="D158"/>
  <c r="B159"/>
  <c r="C159"/>
  <c r="D159"/>
  <c r="B160"/>
  <c r="C160"/>
  <c r="D160"/>
  <c r="B161"/>
  <c r="C161"/>
  <c r="D161"/>
  <c r="B162"/>
  <c r="C162"/>
  <c r="D162"/>
  <c r="B163"/>
  <c r="C163"/>
  <c r="D163"/>
  <c r="B164"/>
  <c r="C164"/>
  <c r="D164"/>
  <c r="B165"/>
  <c r="C165"/>
  <c r="D165"/>
  <c r="B166"/>
  <c r="C166"/>
  <c r="D166"/>
  <c r="B167"/>
  <c r="C167"/>
  <c r="D167"/>
  <c r="B168"/>
  <c r="C168"/>
  <c r="D168"/>
  <c r="B169"/>
  <c r="C169"/>
  <c r="D169"/>
  <c r="B170"/>
  <c r="C170"/>
  <c r="D170"/>
  <c r="B171"/>
  <c r="C171"/>
  <c r="D171"/>
  <c r="B172"/>
  <c r="C172"/>
  <c r="D172"/>
  <c r="B173"/>
  <c r="C173"/>
  <c r="D173"/>
  <c r="B174"/>
  <c r="C174"/>
  <c r="D174"/>
  <c r="B175"/>
  <c r="C175"/>
  <c r="D175"/>
  <c r="B176"/>
  <c r="C176"/>
  <c r="D176"/>
  <c r="B177"/>
  <c r="C177"/>
  <c r="D177"/>
  <c r="B178"/>
  <c r="C178"/>
  <c r="D178"/>
  <c r="B179"/>
  <c r="C179"/>
  <c r="D179"/>
  <c r="B180"/>
  <c r="C180"/>
  <c r="D180"/>
  <c r="B181"/>
  <c r="C181"/>
  <c r="D181"/>
  <c r="B182"/>
  <c r="C182"/>
  <c r="D182"/>
  <c r="B183"/>
  <c r="C183"/>
  <c r="D183"/>
  <c r="B184"/>
  <c r="C184"/>
  <c r="D184"/>
  <c r="B185"/>
  <c r="C185"/>
  <c r="D185"/>
  <c r="B186"/>
  <c r="C186"/>
  <c r="D186"/>
  <c r="B187"/>
  <c r="C187"/>
  <c r="D187"/>
  <c r="B188"/>
  <c r="C188"/>
  <c r="D188"/>
  <c r="B189"/>
  <c r="C189"/>
  <c r="D189"/>
  <c r="B190"/>
  <c r="C190"/>
  <c r="D190"/>
  <c r="B191"/>
  <c r="C191"/>
  <c r="D191"/>
  <c r="B192"/>
  <c r="C192"/>
  <c r="D192"/>
  <c r="B193"/>
  <c r="C193"/>
  <c r="D193"/>
  <c r="B194"/>
  <c r="C194"/>
  <c r="D194"/>
  <c r="B195"/>
  <c r="C195"/>
  <c r="D195"/>
  <c r="B196"/>
  <c r="C196"/>
  <c r="D196"/>
  <c r="B197"/>
  <c r="C197"/>
  <c r="D197"/>
  <c r="B198"/>
  <c r="C198"/>
  <c r="D198"/>
  <c r="B199"/>
  <c r="C199"/>
  <c r="D199"/>
  <c r="B200"/>
  <c r="C200"/>
  <c r="D200"/>
  <c r="B201"/>
  <c r="C201"/>
  <c r="D201"/>
  <c r="B202"/>
  <c r="C202"/>
  <c r="D202"/>
  <c r="B203"/>
  <c r="C203"/>
  <c r="D203"/>
  <c r="B204"/>
  <c r="C204"/>
  <c r="D204"/>
  <c r="B205"/>
  <c r="C205"/>
  <c r="D205"/>
  <c r="AC200" l="1"/>
  <c r="AC196"/>
  <c r="AC192"/>
  <c r="AC188"/>
  <c r="AC184"/>
  <c r="AC180"/>
  <c r="AC176"/>
  <c r="AC172"/>
  <c r="AC168"/>
  <c r="AC164"/>
  <c r="AC160"/>
  <c r="AC156"/>
  <c r="AC152"/>
  <c r="AC148"/>
  <c r="AC144"/>
  <c r="AC140"/>
  <c r="AC136"/>
  <c r="AC132"/>
  <c r="AC128"/>
  <c r="AC124"/>
  <c r="AC120"/>
  <c r="AC194"/>
  <c r="AC186"/>
  <c r="AC178"/>
  <c r="AC170"/>
  <c r="AC162"/>
  <c r="AC154"/>
  <c r="AC146"/>
  <c r="AC138"/>
  <c r="AC130"/>
  <c r="AC122"/>
  <c r="AC198"/>
  <c r="AC190"/>
  <c r="AC182"/>
  <c r="AC174"/>
  <c r="AC166"/>
  <c r="AC158"/>
  <c r="AC150"/>
  <c r="AC142"/>
  <c r="AC134"/>
  <c r="AC126"/>
  <c r="AC118"/>
  <c r="AC201"/>
  <c r="AC161"/>
  <c r="AC137"/>
  <c r="AC195"/>
  <c r="AC187"/>
  <c r="AC179"/>
  <c r="AC171"/>
  <c r="AC155"/>
  <c r="AC139"/>
  <c r="AC131"/>
  <c r="AC123"/>
  <c r="AC199"/>
  <c r="AC191"/>
  <c r="AC183"/>
  <c r="AC175"/>
  <c r="AC167"/>
  <c r="AC159"/>
  <c r="AC151"/>
  <c r="AC143"/>
  <c r="AC135"/>
  <c r="AC127"/>
  <c r="AC119"/>
  <c r="AC193"/>
  <c r="AC185"/>
  <c r="AC177"/>
  <c r="AC169"/>
  <c r="AC153"/>
  <c r="AC145"/>
  <c r="AC129"/>
  <c r="AC121"/>
  <c r="AC203"/>
  <c r="AC163"/>
  <c r="AC147"/>
  <c r="AC205"/>
  <c r="AC197"/>
  <c r="AC189"/>
  <c r="AC181"/>
  <c r="AC173"/>
  <c r="AC165"/>
  <c r="AC157"/>
  <c r="AC149"/>
  <c r="AC141"/>
  <c r="AC133"/>
  <c r="AC125"/>
  <c r="AC117"/>
  <c r="A115" i="14" l="1"/>
  <c r="B115"/>
  <c r="A116"/>
  <c r="B116"/>
  <c r="A117"/>
  <c r="B117"/>
  <c r="A118"/>
  <c r="B118"/>
  <c r="A119"/>
  <c r="B119"/>
  <c r="A120"/>
  <c r="B120"/>
  <c r="A121"/>
  <c r="B121"/>
  <c r="A122"/>
  <c r="B122"/>
  <c r="A123"/>
  <c r="B123"/>
  <c r="A124"/>
  <c r="B124"/>
  <c r="A125"/>
  <c r="B125"/>
  <c r="A126"/>
  <c r="B126"/>
  <c r="A127"/>
  <c r="B127"/>
  <c r="A128"/>
  <c r="B128"/>
  <c r="A129"/>
  <c r="B129"/>
  <c r="A130"/>
  <c r="B130"/>
  <c r="A131"/>
  <c r="B131"/>
  <c r="A132"/>
  <c r="B132"/>
  <c r="A133"/>
  <c r="B133"/>
  <c r="A134"/>
  <c r="B134"/>
  <c r="A135"/>
  <c r="B135"/>
  <c r="A136"/>
  <c r="B136"/>
  <c r="A137"/>
  <c r="B137"/>
  <c r="A138"/>
  <c r="B138"/>
  <c r="A139"/>
  <c r="B139"/>
  <c r="A140"/>
  <c r="B140"/>
  <c r="A141"/>
  <c r="B141"/>
  <c r="A142"/>
  <c r="B142"/>
  <c r="A143"/>
  <c r="B143"/>
  <c r="A144"/>
  <c r="B144"/>
  <c r="A145"/>
  <c r="B145"/>
  <c r="A146"/>
  <c r="B146"/>
  <c r="A147"/>
  <c r="B147"/>
  <c r="A148"/>
  <c r="B148"/>
  <c r="A149"/>
  <c r="B149"/>
  <c r="A150"/>
  <c r="B150"/>
  <c r="A151"/>
  <c r="B151"/>
  <c r="A152"/>
  <c r="B152"/>
  <c r="A153"/>
  <c r="B153"/>
  <c r="A154"/>
  <c r="B154"/>
  <c r="A155"/>
  <c r="B155"/>
  <c r="A156"/>
  <c r="B156"/>
  <c r="A157"/>
  <c r="B157"/>
  <c r="A158"/>
  <c r="B158"/>
  <c r="A159"/>
  <c r="B159"/>
  <c r="A160"/>
  <c r="B160"/>
  <c r="A161"/>
  <c r="B161"/>
  <c r="A162"/>
  <c r="B162"/>
  <c r="A163"/>
  <c r="B163"/>
  <c r="A164"/>
  <c r="B164"/>
  <c r="A165"/>
  <c r="B165"/>
  <c r="A166"/>
  <c r="B166"/>
  <c r="A167"/>
  <c r="B167"/>
  <c r="A168"/>
  <c r="B168"/>
  <c r="A169"/>
  <c r="B169"/>
  <c r="A170"/>
  <c r="B170"/>
  <c r="A171"/>
  <c r="B171"/>
  <c r="A172"/>
  <c r="B172"/>
  <c r="A173"/>
  <c r="B173"/>
  <c r="A174"/>
  <c r="B174"/>
  <c r="A175"/>
  <c r="B175"/>
  <c r="A176"/>
  <c r="B176"/>
  <c r="A177"/>
  <c r="B177"/>
  <c r="A178"/>
  <c r="B178"/>
  <c r="A179"/>
  <c r="B179"/>
  <c r="A180"/>
  <c r="B180"/>
  <c r="A181"/>
  <c r="B181"/>
  <c r="A182"/>
  <c r="B182"/>
  <c r="A183"/>
  <c r="B183"/>
  <c r="A184"/>
  <c r="B184"/>
  <c r="A185"/>
  <c r="B185"/>
  <c r="A186"/>
  <c r="B186"/>
  <c r="A187"/>
  <c r="B187"/>
  <c r="A188"/>
  <c r="B188"/>
  <c r="A189"/>
  <c r="B189"/>
  <c r="A190"/>
  <c r="B190"/>
  <c r="A191"/>
  <c r="B191"/>
  <c r="A192"/>
  <c r="B192"/>
  <c r="B8" i="5" l="1"/>
  <c r="A3" i="14" s="1"/>
  <c r="B9" i="5"/>
  <c r="A4" i="14" s="1"/>
  <c r="B10" i="5"/>
  <c r="A5" i="14" s="1"/>
  <c r="B11" i="5"/>
  <c r="A6" i="14" s="1"/>
  <c r="B12" i="5"/>
  <c r="A7" i="14" s="1"/>
  <c r="B13" i="5"/>
  <c r="A8" i="14" s="1"/>
  <c r="B14" i="5"/>
  <c r="A9" i="14" s="1"/>
  <c r="B15" i="5"/>
  <c r="A10" i="14" s="1"/>
  <c r="B16" i="5"/>
  <c r="A11" i="14" s="1"/>
  <c r="B17" i="5"/>
  <c r="A12" i="14" s="1"/>
  <c r="B18" i="5"/>
  <c r="A13" i="14" s="1"/>
  <c r="B19" i="5"/>
  <c r="A14" i="14" s="1"/>
  <c r="B20" i="5"/>
  <c r="A15" i="14" s="1"/>
  <c r="B21" i="5"/>
  <c r="A16" i="14" s="1"/>
  <c r="B22" i="5"/>
  <c r="A17" i="14" s="1"/>
  <c r="B23" i="5"/>
  <c r="A18" i="14" s="1"/>
  <c r="B24" i="5"/>
  <c r="A19" i="14" s="1"/>
  <c r="B25" i="5"/>
  <c r="A20" i="14" s="1"/>
  <c r="B26" i="5"/>
  <c r="A21" i="14" s="1"/>
  <c r="B27" i="5"/>
  <c r="A22" i="14" s="1"/>
  <c r="B28" i="5"/>
  <c r="A23" i="14" s="1"/>
  <c r="B29" i="5"/>
  <c r="A24" i="14" s="1"/>
  <c r="B30" i="5"/>
  <c r="A25" i="14" s="1"/>
  <c r="B31" i="5"/>
  <c r="A26" i="14" s="1"/>
  <c r="B32" i="5"/>
  <c r="A27" i="14" s="1"/>
  <c r="B33" i="5"/>
  <c r="A28" i="14" s="1"/>
  <c r="B34" i="5"/>
  <c r="A29" i="14" s="1"/>
  <c r="B35" i="5"/>
  <c r="A30" i="14" s="1"/>
  <c r="B36" i="5"/>
  <c r="A31" i="14" s="1"/>
  <c r="B37" i="5"/>
  <c r="A32" i="14" s="1"/>
  <c r="B38" i="5"/>
  <c r="A33" i="14" s="1"/>
  <c r="B39" i="5"/>
  <c r="A34" i="14" s="1"/>
  <c r="B40" i="5"/>
  <c r="A35" i="14" s="1"/>
  <c r="B41" i="5"/>
  <c r="A36" i="14" s="1"/>
  <c r="B42" i="5"/>
  <c r="A37" i="14" s="1"/>
  <c r="B43" i="5"/>
  <c r="A38" i="14" s="1"/>
  <c r="B44" i="5"/>
  <c r="A39" i="14" s="1"/>
  <c r="B45" i="5"/>
  <c r="A40" i="14" s="1"/>
  <c r="B46" i="5"/>
  <c r="A41" i="14" s="1"/>
  <c r="B47" i="5"/>
  <c r="A42" i="14" s="1"/>
  <c r="B48" i="5"/>
  <c r="A43" i="14" s="1"/>
  <c r="B49" i="5"/>
  <c r="A44" i="14" s="1"/>
  <c r="B50" i="5"/>
  <c r="A45" i="14" s="1"/>
  <c r="B51" i="5"/>
  <c r="A46" i="14" s="1"/>
  <c r="B52" i="5"/>
  <c r="A47" i="14" s="1"/>
  <c r="B53" i="5"/>
  <c r="A48" i="14" s="1"/>
  <c r="B54" i="5"/>
  <c r="A49" i="14" s="1"/>
  <c r="B55" i="5"/>
  <c r="A50" i="14" s="1"/>
  <c r="B56" i="5"/>
  <c r="A51" i="14" s="1"/>
  <c r="B57" i="5"/>
  <c r="A52" i="14" s="1"/>
  <c r="B58" i="5"/>
  <c r="A53" i="14" s="1"/>
  <c r="B59" i="5"/>
  <c r="A54" i="14" s="1"/>
  <c r="B60" i="5"/>
  <c r="A55" i="14" s="1"/>
  <c r="B61" i="5"/>
  <c r="A56" i="14" s="1"/>
  <c r="B62" i="5"/>
  <c r="A57" i="14" s="1"/>
  <c r="B63" i="5"/>
  <c r="A58" i="14" s="1"/>
  <c r="B64" i="5"/>
  <c r="A59" i="14" s="1"/>
  <c r="B65" i="5"/>
  <c r="A60" i="14" s="1"/>
  <c r="B66" i="5"/>
  <c r="A61" i="14" s="1"/>
  <c r="B67" i="5"/>
  <c r="A62" i="14" s="1"/>
  <c r="B68" i="5"/>
  <c r="A63" i="14" s="1"/>
  <c r="B69" i="5"/>
  <c r="A64" i="14" s="1"/>
  <c r="B70" i="5"/>
  <c r="A65" i="14" s="1"/>
  <c r="B71" i="5"/>
  <c r="A66" i="14" s="1"/>
  <c r="B72" i="5"/>
  <c r="A67" i="14" s="1"/>
  <c r="B73" i="5"/>
  <c r="A68" i="14" s="1"/>
  <c r="B74" i="5"/>
  <c r="A69" i="14" s="1"/>
  <c r="B75" i="5"/>
  <c r="A70" i="14" s="1"/>
  <c r="B76" i="5"/>
  <c r="A71" i="14" s="1"/>
  <c r="B77" i="5"/>
  <c r="A72" i="14" s="1"/>
  <c r="B78" i="5"/>
  <c r="A73" i="14" s="1"/>
  <c r="B79" i="5"/>
  <c r="A74" i="14" s="1"/>
  <c r="B80" i="5"/>
  <c r="A75" i="14" s="1"/>
  <c r="B81" i="5"/>
  <c r="A76" i="14" s="1"/>
  <c r="B82" i="5"/>
  <c r="A77" i="14" s="1"/>
  <c r="B83" i="5"/>
  <c r="A78" i="14" s="1"/>
  <c r="B84" i="5"/>
  <c r="A79" i="14" s="1"/>
  <c r="B85" i="5"/>
  <c r="A80" i="14" s="1"/>
  <c r="B86" i="5"/>
  <c r="A81" i="14" s="1"/>
  <c r="B87" i="5"/>
  <c r="A82" i="14" s="1"/>
  <c r="B88" i="5"/>
  <c r="A83" i="14" s="1"/>
  <c r="B89" i="5"/>
  <c r="A84" i="14" s="1"/>
  <c r="B90" i="5"/>
  <c r="A85" i="14" s="1"/>
  <c r="B91" i="5"/>
  <c r="A86" i="14" s="1"/>
  <c r="B92" i="5"/>
  <c r="A87" i="14" s="1"/>
  <c r="B93" i="5"/>
  <c r="A88" i="14" s="1"/>
  <c r="B94" i="5"/>
  <c r="A89" i="14" s="1"/>
  <c r="B95" i="5"/>
  <c r="A90" i="14" s="1"/>
  <c r="B96" i="5"/>
  <c r="A91" i="14" s="1"/>
  <c r="B97" i="5"/>
  <c r="A92" i="14" s="1"/>
  <c r="B98" i="5"/>
  <c r="A93" i="14" s="1"/>
  <c r="B99" i="5"/>
  <c r="A94" i="14" s="1"/>
  <c r="B100" i="5"/>
  <c r="A95" i="14" s="1"/>
  <c r="B101" i="5"/>
  <c r="A96" i="14" s="1"/>
  <c r="B102" i="5"/>
  <c r="A97" i="14" s="1"/>
  <c r="B103" i="5"/>
  <c r="A98" i="14" s="1"/>
  <c r="B104" i="5"/>
  <c r="A99" i="14" s="1"/>
  <c r="B105" i="5"/>
  <c r="A100" i="14" s="1"/>
  <c r="B106" i="5"/>
  <c r="A101" i="14" s="1"/>
  <c r="B107" i="5"/>
  <c r="A102" i="14" s="1"/>
  <c r="B108" i="5"/>
  <c r="A103" i="14" s="1"/>
  <c r="B109" i="5"/>
  <c r="A104" i="14" s="1"/>
  <c r="B110" i="5"/>
  <c r="A105" i="14" s="1"/>
  <c r="B111" i="5"/>
  <c r="A106" i="14" s="1"/>
  <c r="B112" i="5"/>
  <c r="A107" i="14" s="1"/>
  <c r="B113" i="5"/>
  <c r="A108" i="14" s="1"/>
  <c r="B114" i="5"/>
  <c r="A109" i="14" s="1"/>
  <c r="B115" i="5"/>
  <c r="A110" i="14" s="1"/>
  <c r="B116" i="5"/>
  <c r="A111" i="14" s="1"/>
  <c r="A113"/>
  <c r="A114"/>
  <c r="B7" i="5"/>
  <c r="C115" i="14" s="1"/>
  <c r="C183" l="1"/>
  <c r="C180"/>
  <c r="C134"/>
  <c r="C166"/>
  <c r="C153"/>
  <c r="C144"/>
  <c r="C145"/>
  <c r="C177"/>
  <c r="C119"/>
  <c r="C167"/>
  <c r="C190"/>
  <c r="C148"/>
  <c r="C140"/>
  <c r="C118"/>
  <c r="C150"/>
  <c r="C182"/>
  <c r="C128"/>
  <c r="C169"/>
  <c r="C116"/>
  <c r="C121"/>
  <c r="C156"/>
  <c r="C139"/>
  <c r="C171"/>
  <c r="C179"/>
  <c r="C129"/>
  <c r="C161"/>
  <c r="C131"/>
  <c r="C151"/>
  <c r="C185"/>
  <c r="C123"/>
  <c r="C155"/>
  <c r="C187"/>
  <c r="C147"/>
  <c r="C126"/>
  <c r="C120"/>
  <c r="C136"/>
  <c r="C152"/>
  <c r="C168"/>
  <c r="C191"/>
  <c r="C163"/>
  <c r="C137"/>
  <c r="C158"/>
  <c r="C174"/>
  <c r="A112"/>
  <c r="C117"/>
  <c r="C133"/>
  <c r="C149"/>
  <c r="C165"/>
  <c r="C181"/>
  <c r="C125"/>
  <c r="C157"/>
  <c r="C189"/>
  <c r="C138"/>
  <c r="C130"/>
  <c r="C146"/>
  <c r="C162"/>
  <c r="C178"/>
  <c r="C141"/>
  <c r="C173"/>
  <c r="C122"/>
  <c r="C154"/>
  <c r="C170"/>
  <c r="C186"/>
  <c r="C132"/>
  <c r="C164"/>
  <c r="C184"/>
  <c r="C172"/>
  <c r="C135"/>
  <c r="C127"/>
  <c r="C143"/>
  <c r="C159"/>
  <c r="C175"/>
  <c r="C124"/>
  <c r="C188"/>
  <c r="C142"/>
  <c r="C160"/>
  <c r="C176"/>
  <c r="C192"/>
  <c r="A2"/>
  <c r="B113"/>
  <c r="B114"/>
  <c r="B112"/>
  <c r="C114" l="1"/>
  <c r="C113"/>
  <c r="C116" i="5" l="1"/>
  <c r="B111" i="14" s="1"/>
  <c r="D116" i="5"/>
  <c r="L116"/>
  <c r="P116"/>
  <c r="U116"/>
  <c r="AB116"/>
  <c r="AC116" l="1"/>
  <c r="C112" i="14"/>
  <c r="C111" l="1"/>
  <c r="L115" i="5"/>
  <c r="P115"/>
  <c r="U115"/>
  <c r="AB115"/>
  <c r="C115"/>
  <c r="B110" i="14" s="1"/>
  <c r="D115" i="5"/>
  <c r="AC115" l="1"/>
  <c r="C110" i="14" s="1"/>
  <c r="AB114" i="5"/>
  <c r="U114"/>
  <c r="P114"/>
  <c r="L114"/>
  <c r="D114"/>
  <c r="C114"/>
  <c r="B109" i="14" s="1"/>
  <c r="AC114" i="5" l="1"/>
  <c r="C109" i="14" s="1"/>
  <c r="AB113" i="5"/>
  <c r="U113"/>
  <c r="P113"/>
  <c r="L113"/>
  <c r="D113"/>
  <c r="C113"/>
  <c r="B108" i="14" s="1"/>
  <c r="AC113" i="5" l="1"/>
  <c r="C108" i="14" l="1"/>
  <c r="AB102" i="5"/>
  <c r="AB103"/>
  <c r="AB104"/>
  <c r="AB105"/>
  <c r="AB106"/>
  <c r="AB107"/>
  <c r="AB108"/>
  <c r="AB109"/>
  <c r="AB110"/>
  <c r="AB111"/>
  <c r="AB112"/>
  <c r="U102"/>
  <c r="U103"/>
  <c r="U104"/>
  <c r="U105"/>
  <c r="U106"/>
  <c r="U107"/>
  <c r="U108"/>
  <c r="U109"/>
  <c r="U110"/>
  <c r="U111"/>
  <c r="U112"/>
  <c r="P102"/>
  <c r="P103"/>
  <c r="P104"/>
  <c r="P105"/>
  <c r="P106"/>
  <c r="P107"/>
  <c r="P108"/>
  <c r="P109"/>
  <c r="P110"/>
  <c r="P111"/>
  <c r="P112"/>
  <c r="L102"/>
  <c r="L103"/>
  <c r="L104"/>
  <c r="L105"/>
  <c r="L106"/>
  <c r="L107"/>
  <c r="L108"/>
  <c r="L109"/>
  <c r="L110"/>
  <c r="L111"/>
  <c r="L112"/>
  <c r="C102"/>
  <c r="B97" i="14" s="1"/>
  <c r="D102" i="5"/>
  <c r="C103"/>
  <c r="B98" i="14" s="1"/>
  <c r="D103" i="5"/>
  <c r="C104"/>
  <c r="B99" i="14" s="1"/>
  <c r="D104" i="5"/>
  <c r="C105"/>
  <c r="B100" i="14" s="1"/>
  <c r="D105" i="5"/>
  <c r="C106"/>
  <c r="B101" i="14" s="1"/>
  <c r="D106" i="5"/>
  <c r="C107"/>
  <c r="B102" i="14" s="1"/>
  <c r="D107" i="5"/>
  <c r="C108"/>
  <c r="B103" i="14" s="1"/>
  <c r="D108" i="5"/>
  <c r="C109"/>
  <c r="B104" i="14" s="1"/>
  <c r="D109" i="5"/>
  <c r="C110"/>
  <c r="B105" i="14" s="1"/>
  <c r="D110" i="5"/>
  <c r="C111"/>
  <c r="B106" i="14" s="1"/>
  <c r="D111" i="5"/>
  <c r="C112"/>
  <c r="B107" i="14" s="1"/>
  <c r="D112" i="5"/>
  <c r="C8"/>
  <c r="B3" i="14" s="1"/>
  <c r="D8" i="5"/>
  <c r="C9"/>
  <c r="B4" i="14" s="1"/>
  <c r="D9" i="5"/>
  <c r="C10"/>
  <c r="B5" i="14" s="1"/>
  <c r="D10" i="5"/>
  <c r="C11"/>
  <c r="B6" i="14" s="1"/>
  <c r="D11" i="5"/>
  <c r="C12"/>
  <c r="B7" i="14" s="1"/>
  <c r="D12" i="5"/>
  <c r="C13"/>
  <c r="B8" i="14" s="1"/>
  <c r="D13" i="5"/>
  <c r="C14"/>
  <c r="B9" i="14" s="1"/>
  <c r="D14" i="5"/>
  <c r="C15"/>
  <c r="B10" i="14" s="1"/>
  <c r="D15" i="5"/>
  <c r="C16"/>
  <c r="B11" i="14" s="1"/>
  <c r="D16" i="5"/>
  <c r="C17"/>
  <c r="B12" i="14" s="1"/>
  <c r="D17" i="5"/>
  <c r="C18"/>
  <c r="B13" i="14" s="1"/>
  <c r="D18" i="5"/>
  <c r="C19"/>
  <c r="B14" i="14" s="1"/>
  <c r="D19" i="5"/>
  <c r="C20"/>
  <c r="B15" i="14" s="1"/>
  <c r="D20" i="5"/>
  <c r="C21"/>
  <c r="B16" i="14" s="1"/>
  <c r="D21" i="5"/>
  <c r="C22"/>
  <c r="B17" i="14" s="1"/>
  <c r="D22" i="5"/>
  <c r="C23"/>
  <c r="B18" i="14" s="1"/>
  <c r="D23" i="5"/>
  <c r="C24"/>
  <c r="B19" i="14" s="1"/>
  <c r="D24" i="5"/>
  <c r="C25"/>
  <c r="B20" i="14" s="1"/>
  <c r="D25" i="5"/>
  <c r="C26"/>
  <c r="B21" i="14" s="1"/>
  <c r="D26" i="5"/>
  <c r="C27"/>
  <c r="B22" i="14" s="1"/>
  <c r="D27" i="5"/>
  <c r="C28"/>
  <c r="B23" i="14" s="1"/>
  <c r="D28" i="5"/>
  <c r="C29"/>
  <c r="B24" i="14" s="1"/>
  <c r="D29" i="5"/>
  <c r="C30"/>
  <c r="B25" i="14" s="1"/>
  <c r="D30" i="5"/>
  <c r="C31"/>
  <c r="B26" i="14" s="1"/>
  <c r="D31" i="5"/>
  <c r="C32"/>
  <c r="B27" i="14" s="1"/>
  <c r="D32" i="5"/>
  <c r="C33"/>
  <c r="B28" i="14" s="1"/>
  <c r="D33" i="5"/>
  <c r="C34"/>
  <c r="B29" i="14" s="1"/>
  <c r="D34" i="5"/>
  <c r="C35"/>
  <c r="B30" i="14" s="1"/>
  <c r="D35" i="5"/>
  <c r="C36"/>
  <c r="B31" i="14" s="1"/>
  <c r="D36" i="5"/>
  <c r="C37"/>
  <c r="B32" i="14" s="1"/>
  <c r="D37" i="5"/>
  <c r="C38"/>
  <c r="B33" i="14" s="1"/>
  <c r="D38" i="5"/>
  <c r="C39"/>
  <c r="B34" i="14" s="1"/>
  <c r="D39" i="5"/>
  <c r="C40"/>
  <c r="B35" i="14" s="1"/>
  <c r="D40" i="5"/>
  <c r="C41"/>
  <c r="B36" i="14" s="1"/>
  <c r="D41" i="5"/>
  <c r="C42"/>
  <c r="B37" i="14" s="1"/>
  <c r="D42" i="5"/>
  <c r="C43"/>
  <c r="B38" i="14" s="1"/>
  <c r="D43" i="5"/>
  <c r="C44"/>
  <c r="B39" i="14" s="1"/>
  <c r="D44" i="5"/>
  <c r="C45"/>
  <c r="B40" i="14" s="1"/>
  <c r="D45" i="5"/>
  <c r="C46"/>
  <c r="B41" i="14" s="1"/>
  <c r="D46" i="5"/>
  <c r="C47"/>
  <c r="B42" i="14" s="1"/>
  <c r="D47" i="5"/>
  <c r="C48"/>
  <c r="B43" i="14" s="1"/>
  <c r="D48" i="5"/>
  <c r="C49"/>
  <c r="B44" i="14" s="1"/>
  <c r="D49" i="5"/>
  <c r="C50"/>
  <c r="B45" i="14" s="1"/>
  <c r="D50" i="5"/>
  <c r="C51"/>
  <c r="B46" i="14" s="1"/>
  <c r="D51" i="5"/>
  <c r="C52"/>
  <c r="B47" i="14" s="1"/>
  <c r="D52" i="5"/>
  <c r="C53"/>
  <c r="B48" i="14" s="1"/>
  <c r="D53" i="5"/>
  <c r="C54"/>
  <c r="B49" i="14" s="1"/>
  <c r="D54" i="5"/>
  <c r="C55"/>
  <c r="B50" i="14" s="1"/>
  <c r="D55" i="5"/>
  <c r="C56"/>
  <c r="B51" i="14" s="1"/>
  <c r="D56" i="5"/>
  <c r="C57"/>
  <c r="B52" i="14" s="1"/>
  <c r="D57" i="5"/>
  <c r="C58"/>
  <c r="B53" i="14" s="1"/>
  <c r="D58" i="5"/>
  <c r="C59"/>
  <c r="B54" i="14" s="1"/>
  <c r="D59" i="5"/>
  <c r="C60"/>
  <c r="B55" i="14" s="1"/>
  <c r="D60" i="5"/>
  <c r="C61"/>
  <c r="B56" i="14" s="1"/>
  <c r="D61" i="5"/>
  <c r="C62"/>
  <c r="B57" i="14" s="1"/>
  <c r="D62" i="5"/>
  <c r="C63"/>
  <c r="B58" i="14" s="1"/>
  <c r="D63" i="5"/>
  <c r="C64"/>
  <c r="B59" i="14" s="1"/>
  <c r="D64" i="5"/>
  <c r="C65"/>
  <c r="B60" i="14" s="1"/>
  <c r="D65" i="5"/>
  <c r="C66"/>
  <c r="B61" i="14" s="1"/>
  <c r="D66" i="5"/>
  <c r="C67"/>
  <c r="B62" i="14" s="1"/>
  <c r="D67" i="5"/>
  <c r="C68"/>
  <c r="B63" i="14" s="1"/>
  <c r="D68" i="5"/>
  <c r="C69"/>
  <c r="B64" i="14" s="1"/>
  <c r="D69" i="5"/>
  <c r="C70"/>
  <c r="B65" i="14" s="1"/>
  <c r="D70" i="5"/>
  <c r="C71"/>
  <c r="B66" i="14" s="1"/>
  <c r="D71" i="5"/>
  <c r="C72"/>
  <c r="B67" i="14" s="1"/>
  <c r="D72" i="5"/>
  <c r="C73"/>
  <c r="B68" i="14" s="1"/>
  <c r="D73" i="5"/>
  <c r="C74"/>
  <c r="B69" i="14" s="1"/>
  <c r="D74" i="5"/>
  <c r="C75"/>
  <c r="B70" i="14" s="1"/>
  <c r="D75" i="5"/>
  <c r="C76"/>
  <c r="B71" i="14" s="1"/>
  <c r="D76" i="5"/>
  <c r="C77"/>
  <c r="B72" i="14" s="1"/>
  <c r="D77" i="5"/>
  <c r="C78"/>
  <c r="B73" i="14" s="1"/>
  <c r="D78" i="5"/>
  <c r="C79"/>
  <c r="B74" i="14" s="1"/>
  <c r="D79" i="5"/>
  <c r="C80"/>
  <c r="B75" i="14" s="1"/>
  <c r="D80" i="5"/>
  <c r="C81"/>
  <c r="B76" i="14" s="1"/>
  <c r="D81" i="5"/>
  <c r="C82"/>
  <c r="B77" i="14" s="1"/>
  <c r="D82" i="5"/>
  <c r="C83"/>
  <c r="B78" i="14" s="1"/>
  <c r="D83" i="5"/>
  <c r="C84"/>
  <c r="B79" i="14" s="1"/>
  <c r="D84" i="5"/>
  <c r="C85"/>
  <c r="B80" i="14" s="1"/>
  <c r="D85" i="5"/>
  <c r="C86"/>
  <c r="B81" i="14" s="1"/>
  <c r="D86" i="5"/>
  <c r="C87"/>
  <c r="B82" i="14" s="1"/>
  <c r="D87" i="5"/>
  <c r="C88"/>
  <c r="B83" i="14" s="1"/>
  <c r="D88" i="5"/>
  <c r="C89"/>
  <c r="B84" i="14" s="1"/>
  <c r="D89" i="5"/>
  <c r="C90"/>
  <c r="B85" i="14" s="1"/>
  <c r="D90" i="5"/>
  <c r="C91"/>
  <c r="B86" i="14" s="1"/>
  <c r="D91" i="5"/>
  <c r="C92"/>
  <c r="B87" i="14" s="1"/>
  <c r="D92" i="5"/>
  <c r="C93"/>
  <c r="B88" i="14" s="1"/>
  <c r="D93" i="5"/>
  <c r="C94"/>
  <c r="B89" i="14" s="1"/>
  <c r="D94" i="5"/>
  <c r="C95"/>
  <c r="B90" i="14" s="1"/>
  <c r="D95" i="5"/>
  <c r="C96"/>
  <c r="B91" i="14" s="1"/>
  <c r="D96" i="5"/>
  <c r="C97"/>
  <c r="B92" i="14" s="1"/>
  <c r="D97" i="5"/>
  <c r="C98"/>
  <c r="B93" i="14" s="1"/>
  <c r="D98" i="5"/>
  <c r="C99"/>
  <c r="B94" i="14" s="1"/>
  <c r="D99" i="5"/>
  <c r="C100"/>
  <c r="B95" i="14" s="1"/>
  <c r="D100" i="5"/>
  <c r="C101"/>
  <c r="B96" i="14" s="1"/>
  <c r="D101" i="5"/>
  <c r="C7"/>
  <c r="D7"/>
  <c r="B2" i="14" l="1"/>
  <c r="AC110" i="5"/>
  <c r="C105" i="14" s="1"/>
  <c r="AC106" i="5"/>
  <c r="C101" i="14" s="1"/>
  <c r="AC102" i="5"/>
  <c r="C97" i="14" s="1"/>
  <c r="AC112" i="5"/>
  <c r="AC108"/>
  <c r="C103" i="14" s="1"/>
  <c r="AC111" i="5"/>
  <c r="AC109"/>
  <c r="C104" i="14" s="1"/>
  <c r="AC103" i="5"/>
  <c r="C98" i="14" s="1"/>
  <c r="AC105" i="5"/>
  <c r="C100" i="14" s="1"/>
  <c r="AC107" i="5"/>
  <c r="AC104"/>
  <c r="AB101"/>
  <c r="U101"/>
  <c r="P101"/>
  <c r="L101"/>
  <c r="L100"/>
  <c r="P100"/>
  <c r="U100"/>
  <c r="AB100"/>
  <c r="C99" i="14" l="1"/>
  <c r="C106"/>
  <c r="C102"/>
  <c r="C107"/>
  <c r="AC100" i="5"/>
  <c r="AC101"/>
  <c r="C96" i="14" s="1"/>
  <c r="C95" l="1"/>
  <c r="AB8" i="5" l="1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7"/>
  <c r="AC97" l="1"/>
  <c r="AC93"/>
  <c r="AC89"/>
  <c r="C84" i="14" s="1"/>
  <c r="AC85" i="5"/>
  <c r="AC81"/>
  <c r="C76" i="14" s="1"/>
  <c r="AC77" i="5"/>
  <c r="AC73"/>
  <c r="AC69"/>
  <c r="AC65"/>
  <c r="C60" i="14" s="1"/>
  <c r="AC61" i="5"/>
  <c r="C56" i="14" s="1"/>
  <c r="AC57" i="5"/>
  <c r="AC53"/>
  <c r="AC49"/>
  <c r="AC45"/>
  <c r="AC41"/>
  <c r="AC37"/>
  <c r="C32" i="14" s="1"/>
  <c r="AC33" i="5"/>
  <c r="AC29"/>
  <c r="AC25"/>
  <c r="AC21"/>
  <c r="AC17"/>
  <c r="AC13"/>
  <c r="AC9"/>
  <c r="C4" i="14" s="1"/>
  <c r="AC7" i="5"/>
  <c r="AC96"/>
  <c r="AC92"/>
  <c r="AC88"/>
  <c r="C83" i="14" s="1"/>
  <c r="AC84" i="5"/>
  <c r="AC80"/>
  <c r="AC76"/>
  <c r="AC72"/>
  <c r="AC68"/>
  <c r="C63" i="14" s="1"/>
  <c r="AC64" i="5"/>
  <c r="AC60"/>
  <c r="AC56"/>
  <c r="AC52"/>
  <c r="AC48"/>
  <c r="C43" i="14" s="1"/>
  <c r="AC44" i="5"/>
  <c r="AC40"/>
  <c r="AC36"/>
  <c r="AC32"/>
  <c r="AC28"/>
  <c r="C23" i="14" s="1"/>
  <c r="AC24" i="5"/>
  <c r="AC20"/>
  <c r="AC16"/>
  <c r="AC12"/>
  <c r="AC8"/>
  <c r="AC98"/>
  <c r="AC94"/>
  <c r="AC90"/>
  <c r="AC86"/>
  <c r="AC82"/>
  <c r="C77" i="14" s="1"/>
  <c r="AC78" i="5"/>
  <c r="AC74"/>
  <c r="AC70"/>
  <c r="AC66"/>
  <c r="AC62"/>
  <c r="C57" i="14" s="1"/>
  <c r="AC58" i="5"/>
  <c r="C53" i="14" s="1"/>
  <c r="AC54" i="5"/>
  <c r="AC50"/>
  <c r="AC46"/>
  <c r="AC42"/>
  <c r="AC38"/>
  <c r="AC34"/>
  <c r="C29" i="14" s="1"/>
  <c r="AC30" i="5"/>
  <c r="AC26"/>
  <c r="AC22"/>
  <c r="C17" i="14" s="1"/>
  <c r="AC18" i="5"/>
  <c r="AC14"/>
  <c r="AC10"/>
  <c r="AC99"/>
  <c r="AC95"/>
  <c r="C90" i="14" s="1"/>
  <c r="AC91" i="5"/>
  <c r="AC87"/>
  <c r="C82" i="14" s="1"/>
  <c r="AC83" i="5"/>
  <c r="AC79"/>
  <c r="AC75"/>
  <c r="C70" i="14" s="1"/>
  <c r="AC71" i="5"/>
  <c r="AC67"/>
  <c r="AC63"/>
  <c r="AC59"/>
  <c r="AC55"/>
  <c r="AC51"/>
  <c r="C46" i="14" s="1"/>
  <c r="AC47" i="5"/>
  <c r="AC43"/>
  <c r="C38" i="14" s="1"/>
  <c r="AC39" i="5"/>
  <c r="AC35"/>
  <c r="AC31"/>
  <c r="AC27"/>
  <c r="AC23"/>
  <c r="AC19"/>
  <c r="AC15"/>
  <c r="AC11"/>
  <c r="C14" i="14" l="1"/>
  <c r="C30"/>
  <c r="C20"/>
  <c r="C36"/>
  <c r="C52"/>
  <c r="C68"/>
  <c r="C5"/>
  <c r="C21"/>
  <c r="C37"/>
  <c r="C87"/>
  <c r="C86"/>
  <c r="C88"/>
  <c r="C9"/>
  <c r="C25"/>
  <c r="C41"/>
  <c r="C10"/>
  <c r="C26"/>
  <c r="C42"/>
  <c r="C58"/>
  <c r="C74"/>
  <c r="C13"/>
  <c r="C45"/>
  <c r="C61"/>
  <c r="C93"/>
  <c r="C15"/>
  <c r="C31"/>
  <c r="C47"/>
  <c r="C79"/>
  <c r="C16"/>
  <c r="C48"/>
  <c r="C64"/>
  <c r="C80"/>
  <c r="C62"/>
  <c r="C78"/>
  <c r="C94"/>
  <c r="C33"/>
  <c r="C49"/>
  <c r="C65"/>
  <c r="C81"/>
  <c r="C3"/>
  <c r="C35"/>
  <c r="C51"/>
  <c r="C67"/>
  <c r="C18"/>
  <c r="C34"/>
  <c r="C50"/>
  <c r="C66"/>
  <c r="C69"/>
  <c r="C85"/>
  <c r="C7"/>
  <c r="C39"/>
  <c r="C55"/>
  <c r="C71"/>
  <c r="C8"/>
  <c r="C24"/>
  <c r="C40"/>
  <c r="C72"/>
  <c r="C6"/>
  <c r="C22"/>
  <c r="C54"/>
  <c r="C73"/>
  <c r="C89"/>
  <c r="C11"/>
  <c r="C27"/>
  <c r="C59"/>
  <c r="C75"/>
  <c r="C91"/>
  <c r="C12"/>
  <c r="C28"/>
  <c r="C44"/>
  <c r="C92"/>
  <c r="C19"/>
  <c r="C2"/>
</calcChain>
</file>

<file path=xl/sharedStrings.xml><?xml version="1.0" encoding="utf-8"?>
<sst xmlns="http://schemas.openxmlformats.org/spreadsheetml/2006/main" count="608" uniqueCount="253">
  <si>
    <t>ASIA INVESTMENS AND SUPREMAKET TRADING CO.</t>
  </si>
  <si>
    <t>2nd Floor, 506 Nguyen Dinh Chieu, Ward 6, Dictrict 3, HCM</t>
  </si>
  <si>
    <t>Tel:</t>
  </si>
  <si>
    <t>08 – 38328272 – 3832 8589</t>
  </si>
  <si>
    <t xml:space="preserve"> PURCHASE ORDER</t>
  </si>
  <si>
    <t>ĐƠN ĐẶT HÀNG</t>
  </si>
  <si>
    <r>
      <t xml:space="preserve">To / </t>
    </r>
    <r>
      <rPr>
        <i/>
        <sz val="10"/>
        <color rgb="FF000000"/>
        <rFont val="Arial1"/>
      </rPr>
      <t>Đến</t>
    </r>
  </si>
  <si>
    <t>Delivery To /</t>
  </si>
  <si>
    <t>Giant Q.7</t>
  </si>
  <si>
    <t>:</t>
  </si>
  <si>
    <t>71/5 Nguyen Trai, Q.1</t>
  </si>
  <si>
    <t>Tầng Hầm B1, Crescent Mall,</t>
  </si>
  <si>
    <r>
      <t xml:space="preserve">Tel / </t>
    </r>
    <r>
      <rPr>
        <i/>
        <sz val="10"/>
        <color rgb="FF000000"/>
        <rFont val="Arial1"/>
      </rPr>
      <t>Điện thoại</t>
    </r>
  </si>
  <si>
    <t>Đại Lộ Nguyễn Văn Linh, Q7</t>
  </si>
  <si>
    <r>
      <t xml:space="preserve">Attn </t>
    </r>
    <r>
      <rPr>
        <i/>
        <sz val="10"/>
        <color rgb="FF000000"/>
        <rFont val="Arial1"/>
      </rPr>
      <t>Người nhận</t>
    </r>
  </si>
  <si>
    <t>Ms. Tiên: 0128.9608.638</t>
  </si>
  <si>
    <t>Unit
ĐVT</t>
  </si>
  <si>
    <t>Qty / Số lượng</t>
  </si>
  <si>
    <t>Amount
Thành tiền
(VND)</t>
  </si>
  <si>
    <t>VAT
Thue GTGT(10%)</t>
  </si>
  <si>
    <r>
      <t xml:space="preserve">Total
</t>
    </r>
    <r>
      <rPr>
        <i/>
        <sz val="10"/>
        <color rgb="FF000000"/>
        <rFont val="Arial1"/>
      </rPr>
      <t>Tổng tiền</t>
    </r>
    <r>
      <rPr>
        <i/>
        <sz val="10"/>
        <color rgb="FF000000"/>
        <rFont val="Arial1"/>
      </rPr>
      <t xml:space="preserve">
(VND)</t>
    </r>
  </si>
  <si>
    <t>cuộn</t>
  </si>
  <si>
    <r>
      <t>Terms &amp; Conditions</t>
    </r>
    <r>
      <rPr>
        <i/>
        <u/>
        <sz val="10"/>
        <color rgb="FF000000"/>
        <rFont val="Arial"/>
        <family val="2"/>
      </rPr>
      <t xml:space="preserve"> Các điều kiện &amp; điều khoản:</t>
    </r>
  </si>
  <si>
    <t>*</t>
  </si>
  <si>
    <r>
      <t xml:space="preserve">This PO number MUST be printed on your Delivery Order and Invoice.
</t>
    </r>
    <r>
      <rPr>
        <i/>
        <sz val="10"/>
        <color rgb="FF000000"/>
        <rFont val="Arial"/>
        <family val="2"/>
      </rPr>
      <t>Đơn mua hàng này phải được in cùng với đơn giao nhận hàng và hóa đơn</t>
    </r>
  </si>
  <si>
    <r>
      <t xml:space="preserve">Deadline for Delivery
</t>
    </r>
    <r>
      <rPr>
        <i/>
        <sz val="10"/>
        <color rgb="FF000000"/>
        <rFont val="Arial"/>
        <family val="2"/>
      </rPr>
      <t>Thời hạn giao hàng</t>
    </r>
  </si>
  <si>
    <r>
      <t xml:space="preserve">Quotation / Tender No. </t>
    </r>
    <r>
      <rPr>
        <i/>
        <sz val="10"/>
        <color rgb="FF000000"/>
        <rFont val="Arial"/>
        <family val="2"/>
      </rPr>
      <t>Bảng báo giá số</t>
    </r>
  </si>
  <si>
    <r>
      <t xml:space="preserve">Terms of Payment
</t>
    </r>
    <r>
      <rPr>
        <i/>
        <sz val="10"/>
        <color rgb="FF000000"/>
        <rFont val="Arial"/>
        <family val="2"/>
      </rPr>
      <t>Phương thức thanh toán</t>
    </r>
  </si>
  <si>
    <r>
      <t xml:space="preserve">Quotation / Tender Date. </t>
    </r>
    <r>
      <rPr>
        <i/>
        <sz val="10"/>
        <color rgb="FF000000"/>
        <rFont val="Arial"/>
        <family val="2"/>
      </rPr>
      <t>Ngày thể hiện trên bảng báo giá</t>
    </r>
  </si>
  <si>
    <r>
      <t xml:space="preserve">Other Terms
</t>
    </r>
    <r>
      <rPr>
        <i/>
        <sz val="10"/>
        <color rgb="FF000000"/>
        <rFont val="Arial"/>
        <family val="2"/>
      </rPr>
      <t>Các điều khoản khác</t>
    </r>
  </si>
  <si>
    <r>
      <t>Issued by</t>
    </r>
    <r>
      <rPr>
        <i/>
        <sz val="10"/>
        <color rgb="FF000000"/>
        <rFont val="Arial"/>
        <family val="2"/>
      </rPr>
      <t xml:space="preserve"> Yêu cầu bởi:</t>
    </r>
  </si>
  <si>
    <r>
      <t>Authorised by</t>
    </r>
    <r>
      <rPr>
        <i/>
        <sz val="10"/>
        <color rgb="FF000000"/>
        <rFont val="Arial"/>
        <family val="2"/>
      </rPr>
      <t xml:space="preserve"> Chấp thuận bởi</t>
    </r>
  </si>
  <si>
    <t>Name Tên</t>
  </si>
  <si>
    <r>
      <t xml:space="preserve">Position
</t>
    </r>
    <r>
      <rPr>
        <i/>
        <sz val="10"/>
        <color rgb="FF000000"/>
        <rFont val="Arial"/>
        <family val="2"/>
      </rPr>
      <t>Chức vụ</t>
    </r>
  </si>
  <si>
    <t>Admin</t>
  </si>
  <si>
    <r>
      <t xml:space="preserve">Position </t>
    </r>
    <r>
      <rPr>
        <i/>
        <sz val="10"/>
        <color rgb="FF000000"/>
        <rFont val="Arial"/>
        <family val="2"/>
      </rPr>
      <t>Chức vụ: GĐ Nhân Sự</t>
    </r>
  </si>
  <si>
    <r>
      <t>Date N</t>
    </r>
    <r>
      <rPr>
        <i/>
        <sz val="10"/>
        <color rgb="FF000000"/>
        <rFont val="Arial"/>
        <family val="2"/>
      </rPr>
      <t>gày</t>
    </r>
  </si>
  <si>
    <r>
      <t>Date N</t>
    </r>
    <r>
      <rPr>
        <i/>
        <sz val="10"/>
        <color rgb="FF000000"/>
        <rFont val="Arial"/>
        <family val="2"/>
      </rPr>
      <t>gày:</t>
    </r>
  </si>
  <si>
    <t>`</t>
  </si>
  <si>
    <t xml:space="preserve">Name Tên: </t>
  </si>
  <si>
    <r>
      <t xml:space="preserve">No.
</t>
    </r>
    <r>
      <rPr>
        <i/>
        <sz val="10"/>
        <color rgb="FFFF0000"/>
        <rFont val="Arial1"/>
      </rPr>
      <t>Stt</t>
    </r>
  </si>
  <si>
    <r>
      <t xml:space="preserve">Details / </t>
    </r>
    <r>
      <rPr>
        <i/>
        <sz val="10"/>
        <color rgb="FFFF0000"/>
        <rFont val="Arial1"/>
      </rPr>
      <t>Chi tiết</t>
    </r>
  </si>
  <si>
    <r>
      <t xml:space="preserve">Unit Price
</t>
    </r>
    <r>
      <rPr>
        <i/>
        <sz val="10"/>
        <color rgb="FFFF0000"/>
        <rFont val="Arial1"/>
      </rPr>
      <t>Đơn giá
(VND)</t>
    </r>
  </si>
  <si>
    <r>
      <t xml:space="preserve">Details / </t>
    </r>
    <r>
      <rPr>
        <i/>
        <sz val="10"/>
        <rFont val="Arial"/>
        <family val="2"/>
      </rPr>
      <t>Chi tiết</t>
    </r>
  </si>
  <si>
    <r>
      <t xml:space="preserve">Unit Price
</t>
    </r>
    <r>
      <rPr>
        <i/>
        <sz val="10"/>
        <rFont val="Arial"/>
        <family val="2"/>
      </rPr>
      <t>Đơn giá
(VND)</t>
    </r>
  </si>
  <si>
    <t>hộp</t>
  </si>
  <si>
    <t>cái</t>
  </si>
  <si>
    <t>Bấm kim số 03</t>
  </si>
  <si>
    <t>cái</t>
  </si>
  <si>
    <t>Băng keo giấy</t>
  </si>
  <si>
    <t>Băng keo trong 2cm</t>
  </si>
  <si>
    <t>cuộn</t>
  </si>
  <si>
    <t>Bìa kẹp trình ký</t>
  </si>
  <si>
    <t>tờ</t>
  </si>
  <si>
    <t>Bìa nút</t>
  </si>
  <si>
    <t>xấp</t>
  </si>
  <si>
    <t>Chổi lông gà</t>
  </si>
  <si>
    <t>cây</t>
  </si>
  <si>
    <t>Chổi trung quét bàn phím</t>
  </si>
  <si>
    <t>Cây</t>
  </si>
  <si>
    <t>Chai</t>
  </si>
  <si>
    <t>Đinh ghim bảng đầu nhựa</t>
  </si>
  <si>
    <t>bịch</t>
  </si>
  <si>
    <t>Đồ lau bảng (sử dụng bảng viết lông)</t>
  </si>
  <si>
    <t xml:space="preserve">Giấy bấm giá TTH </t>
  </si>
  <si>
    <t>Hồ nước</t>
  </si>
  <si>
    <t>Kéo lớn S100</t>
  </si>
  <si>
    <t xml:space="preserve">Kéo nhỏ NO.S120 </t>
  </si>
  <si>
    <t>lọ</t>
  </si>
  <si>
    <t xml:space="preserve">Kẹp bảng tên </t>
  </si>
  <si>
    <t>hộp</t>
  </si>
  <si>
    <t xml:space="preserve">Ly nhựa 390ml </t>
  </si>
  <si>
    <t>Lọ</t>
  </si>
  <si>
    <t>Mực viết lông bảng</t>
  </si>
  <si>
    <t>Nước rửa chén giặt khăn</t>
  </si>
  <si>
    <t>Nước tẩy Sumo đa năng 700g</t>
  </si>
  <si>
    <t>chai</t>
  </si>
  <si>
    <t>Pin Con Ó 2A (thử đồ chơi)</t>
  </si>
  <si>
    <t>cục</t>
  </si>
  <si>
    <t>Ruột viết chì 0.5</t>
  </si>
  <si>
    <t>Ruột viết chì 0.7</t>
  </si>
  <si>
    <t>Cuốn</t>
  </si>
  <si>
    <t>Sổ ghi nhật ký (sổ trung cắt sẵn)</t>
  </si>
  <si>
    <t>cuốn</t>
  </si>
  <si>
    <t>Cục</t>
  </si>
  <si>
    <t>Viết Chì Kim 0.5</t>
  </si>
  <si>
    <t>Viết Chì Kim 0.7</t>
  </si>
  <si>
    <t>Viết dạ quang hồng</t>
  </si>
  <si>
    <t>Viết dạ quang vàng</t>
  </si>
  <si>
    <t>Viết dây để bàn đôi Bến nghé</t>
  </si>
  <si>
    <t>bộ</t>
  </si>
  <si>
    <t>Viết dây để bàn đơn Bến nghé</t>
  </si>
  <si>
    <t>Viết để bàn Thiên Long</t>
  </si>
  <si>
    <t>Viết lông bảng Maker đỏ</t>
  </si>
  <si>
    <t xml:space="preserve">Nước rửa kính Gift 580ml </t>
  </si>
  <si>
    <t>Cái</t>
  </si>
  <si>
    <t>Keo 502</t>
  </si>
  <si>
    <t>DANH SÁCH VĂN PHÒNG PHẨM  NGANH HANG THANG07</t>
  </si>
  <si>
    <t>Bộ phận : Sale Support</t>
  </si>
  <si>
    <t xml:space="preserve">Ngày đặt : </t>
  </si>
  <si>
    <t>SALES SUPPORT</t>
  </si>
  <si>
    <t>FRESH</t>
  </si>
  <si>
    <t>GROCERY</t>
  </si>
  <si>
    <t>GMS</t>
  </si>
  <si>
    <t>TỔNG
SẢN
PHẨM</t>
  </si>
  <si>
    <t>Stt</t>
  </si>
  <si>
    <t>Tên sản phẩm</t>
  </si>
  <si>
    <t>Đvt</t>
  </si>
  <si>
    <t>Cashiering</t>
  </si>
  <si>
    <t>Customer
Service</t>
  </si>
  <si>
    <t>Good
Receiving</t>
  </si>
  <si>
    <t>LP</t>
  </si>
  <si>
    <t>VMD</t>
  </si>
  <si>
    <t>HR</t>
  </si>
  <si>
    <t>Tổng</t>
  </si>
  <si>
    <t>C&amp;F</t>
  </si>
  <si>
    <t>F&amp;V</t>
  </si>
  <si>
    <t>Meat
Seafood</t>
  </si>
  <si>
    <t>G1</t>
  </si>
  <si>
    <t>G2</t>
  </si>
  <si>
    <t>G3G4</t>
  </si>
  <si>
    <t>G5</t>
  </si>
  <si>
    <t>Clothing 
Footwear</t>
  </si>
  <si>
    <t>DIY
BabyGoodS</t>
  </si>
  <si>
    <t>Electrical</t>
  </si>
  <si>
    <t>Home
Furnishing</t>
  </si>
  <si>
    <t>House
Hold</t>
  </si>
  <si>
    <t>Stationery  
Toy</t>
  </si>
  <si>
    <t>Chỗi nylon trung</t>
  </si>
  <si>
    <t>Giá</t>
  </si>
  <si>
    <t>VAT
Thue GTGT
(10%)</t>
  </si>
  <si>
    <t>Lầu 2, 506 Nguyễn Đình Chiểu , F4, Q3 , TPHCM</t>
  </si>
  <si>
    <r>
      <t xml:space="preserve">To / </t>
    </r>
    <r>
      <rPr>
        <i/>
        <sz val="10"/>
        <rFont val="Arial"/>
        <family val="2"/>
      </rPr>
      <t>Đến</t>
    </r>
  </si>
  <si>
    <t xml:space="preserve">Delivery To / Giant Q.7 </t>
  </si>
  <si>
    <t xml:space="preserve">Tầng Hầm B1, Crescent Mall, </t>
  </si>
  <si>
    <t>Ms Tiên : 01289 608 638</t>
  </si>
  <si>
    <t xml:space="preserve">                  ASIA INVESTMENS AND SUPREMAKET TRADING CO.</t>
  </si>
  <si>
    <t>MST:</t>
  </si>
  <si>
    <r>
      <t>Issued by</t>
    </r>
    <r>
      <rPr>
        <i/>
        <sz val="10"/>
        <rFont val="Arial"/>
        <family val="2"/>
      </rPr>
      <t xml:space="preserve"> Yêu cầu bởi:</t>
    </r>
  </si>
  <si>
    <r>
      <t>Authorised by</t>
    </r>
    <r>
      <rPr>
        <i/>
        <sz val="10"/>
        <rFont val="Arial"/>
        <family val="2"/>
      </rPr>
      <t xml:space="preserve"> Chấp thuận bởi</t>
    </r>
  </si>
  <si>
    <t>Date/Ngày:</t>
  </si>
  <si>
    <r>
      <t xml:space="preserve">Position/ </t>
    </r>
    <r>
      <rPr>
        <i/>
        <sz val="10"/>
        <rFont val="Arial"/>
        <family val="2"/>
      </rPr>
      <t>Chức vụ:
STAFF</t>
    </r>
  </si>
  <si>
    <r>
      <t xml:space="preserve">Name/Ten:
</t>
    </r>
    <r>
      <rPr>
        <i/>
        <sz val="11"/>
        <rFont val="Arial"/>
        <family val="2"/>
      </rPr>
      <t>Dương Nguyễn Thủy Tiên</t>
    </r>
  </si>
  <si>
    <t>Tổng Cộng:</t>
  </si>
  <si>
    <t>Bìa 1 Nút F4</t>
  </si>
  <si>
    <t>Bìa Accord A4</t>
  </si>
  <si>
    <t>Bìa Lá A4 Plus</t>
  </si>
  <si>
    <t>Bìa Thái A4 Sunflower</t>
  </si>
  <si>
    <t>Kéo Suremark-8815</t>
  </si>
  <si>
    <t>Máy Tính Casio Js-120L/Jf-120</t>
  </si>
  <si>
    <t>Acco Nhựa</t>
  </si>
  <si>
    <t>Bấm Kim 10E Tr - Plus</t>
  </si>
  <si>
    <t>Bấm Lổ Eagle 837</t>
  </si>
  <si>
    <t>Băng Keo 2 Mặt 1,6Cm</t>
  </si>
  <si>
    <t>Băng Keo 2 Mặt Xốp 2,4Cm</t>
  </si>
  <si>
    <t>Băng Keo Trong 5Cm 80Yards</t>
  </si>
  <si>
    <t>Bảng Tên Nhựa Dẻo (Đứng)</t>
  </si>
  <si>
    <t>Bảng Tên Nhựa Dẻo (Ngang)</t>
  </si>
  <si>
    <t>Băng Xóa Mini 5 Series Bag Jpn</t>
  </si>
  <si>
    <t>Bìa Còng 7P 2 Mặt Si A4</t>
  </si>
  <si>
    <t>Bìa Còng 7P 2 Mặt Si F4</t>
  </si>
  <si>
    <t>Bìa Lổ A4</t>
  </si>
  <si>
    <t>Bìa Trình Ký Nhựa A4</t>
  </si>
  <si>
    <t>Cắt Băng Keo 5P Cầm Tay</t>
  </si>
  <si>
    <t>Chuốt Chì Nhỏ Sdi 0137</t>
  </si>
  <si>
    <t>Cồn Nhỏ</t>
  </si>
  <si>
    <t>Dao Rọc Giấy Lớn Tth 280</t>
  </si>
  <si>
    <t>Dao rọc giấy nhỏ SDI (loại 3 lưỡi)</t>
  </si>
  <si>
    <t>Dao Rọc Giấy Lớn Sdi</t>
  </si>
  <si>
    <t>Dao Rọc Giấy Nhỏ Sdi</t>
  </si>
  <si>
    <t>Keo Nước Thiên Long Lớn 30Ml</t>
  </si>
  <si>
    <t>Kim Kẹp Giấy Sắt C62</t>
  </si>
  <si>
    <t>Khăn Trắng</t>
  </si>
  <si>
    <t>Kệ 3 Tầng Mica</t>
  </si>
  <si>
    <t>Kệ 2 Tầng Mica</t>
  </si>
  <si>
    <t>Kim Bấm 10 Plus</t>
  </si>
  <si>
    <t>Kim Bấm 03 Plus</t>
  </si>
  <si>
    <t>Mực Viết Lông Dầu Artline (đen)</t>
  </si>
  <si>
    <t>Mực Viết Lông Dầu Artline (đỏ)</t>
  </si>
  <si>
    <t>Mực Shiny (đỏ)</t>
  </si>
  <si>
    <t>Nhựa Ép Plastic A4 D9L 80</t>
  </si>
  <si>
    <t>Sáp Đếm Tiền</t>
  </si>
  <si>
    <t>Sổ Caro 25X35 Dày (cắt đầu)</t>
  </si>
  <si>
    <t>Viết Lông Dầu Artline 700 (đỏ)</t>
  </si>
  <si>
    <t>Viết Lông Dầu Artline 700 (đen)</t>
  </si>
  <si>
    <t>Viết Lông Dầu Artline 725 (đen)</t>
  </si>
  <si>
    <t>Viết Lông Dầu Artline 725 (đỏ)</t>
  </si>
  <si>
    <t>Viết Lông Dầu Artline 90 (đen)</t>
  </si>
  <si>
    <t>Viết Lông Dầu Artline 90 (đỏ)</t>
  </si>
  <si>
    <t>Viết Bic Thiên Long 027 (đỏ)</t>
  </si>
  <si>
    <t>Viết Bic Thiên Long 027 (xanh)</t>
  </si>
  <si>
    <t>Viết Chì 2B Thiên Long</t>
  </si>
  <si>
    <t>Viết Lông Dầu Apolo 777 (đỏ)</t>
  </si>
  <si>
    <t>Viết Lông Dầu Apolo Xanh 777</t>
  </si>
  <si>
    <t>Viết Xóa Thiên Long Cp-05</t>
  </si>
  <si>
    <t>Viết Lông Bảng Xanh Thiên Long</t>
  </si>
  <si>
    <t>Kẹp Bướm 19Mm</t>
  </si>
  <si>
    <t>Kẹp Bướm 25Mm</t>
  </si>
  <si>
    <t>Kẹp Bướm 32Mm</t>
  </si>
  <si>
    <t>Kẹp Bướm 41Mm</t>
  </si>
  <si>
    <t>Kẹp Bướm 51Mm</t>
  </si>
  <si>
    <t>Ly Nhựa 411 140Ml</t>
  </si>
  <si>
    <t>Bao Thư Cửa Sổ 12X22</t>
  </si>
  <si>
    <t>Bao Thư Trắng 12X22-80G/M2</t>
  </si>
  <si>
    <t>Bao Thư Trắng 25X35-80G/M2</t>
  </si>
  <si>
    <t>Bao Thư Trắng A5</t>
  </si>
  <si>
    <t>Ly nhựa nhỏ Tân Hiệp Hưng 399</t>
  </si>
  <si>
    <t>băng keo 2.5p 100 yard</t>
  </si>
  <si>
    <t>Cana đánh bóng 220g</t>
  </si>
  <si>
    <t>Rổ xéo nhựa 1 ngăn - xanh dương</t>
  </si>
  <si>
    <t>Giấy gói quà</t>
  </si>
  <si>
    <t>tờ</t>
  </si>
  <si>
    <t>Kỹ Thuật,QA</t>
  </si>
  <si>
    <t xml:space="preserve">Tập 100 Trang </t>
  </si>
  <si>
    <t>Tập  200 trang</t>
  </si>
  <si>
    <t>Bút lông dầu Artline EK 100 đen</t>
  </si>
  <si>
    <t>Bút lông dầu Artline EK 100 đỏ</t>
  </si>
  <si>
    <t>Giấy ghi chú 1''*2</t>
  </si>
  <si>
    <t>Giấy ghi chú 2''*3</t>
  </si>
  <si>
    <t>Giấy ghi chú 3''*3</t>
  </si>
  <si>
    <t>Giấy ghi chú 3''*4</t>
  </si>
  <si>
    <t>Gôm TL nhỏ</t>
  </si>
  <si>
    <t>Gôm TL trung</t>
  </si>
  <si>
    <t>Sổ Caro 30X40 Dày (cắt đầu)</t>
  </si>
  <si>
    <t>Công ty Phương Nam</t>
  </si>
  <si>
    <t xml:space="preserve"> Tel / Điện thoại:             3758.4761-37583302 </t>
  </si>
  <si>
    <t>Fax: (84-8) 37583302</t>
  </si>
  <si>
    <r>
      <t xml:space="preserve">Attn </t>
    </r>
    <r>
      <rPr>
        <i/>
        <sz val="10"/>
        <rFont val="Arial"/>
        <family val="2"/>
      </rPr>
      <t xml:space="preserve">Người nhận </t>
    </r>
  </si>
  <si>
    <t>Details / Chi tiết</t>
  </si>
  <si>
    <r>
      <t xml:space="preserve">No.
</t>
    </r>
    <r>
      <rPr>
        <i/>
        <sz val="10"/>
        <rFont val="Arial1"/>
      </rPr>
      <t>Stt</t>
    </r>
  </si>
  <si>
    <r>
      <t xml:space="preserve">Unit Price
</t>
    </r>
    <r>
      <rPr>
        <i/>
        <sz val="10"/>
        <rFont val="Arial1"/>
      </rPr>
      <t>Đơn giá
(VND)</t>
    </r>
  </si>
  <si>
    <t>ĐỊA CHỈ / ADDRESS :          A35/32K Nguyễn Văn Linh-Q7</t>
  </si>
  <si>
    <r>
      <t xml:space="preserve"> Supplier Confirm/</t>
    </r>
    <r>
      <rPr>
        <i/>
        <sz val="10"/>
        <rFont val="Arial"/>
        <family val="2"/>
      </rPr>
      <t xml:space="preserve"> Xác nhận</t>
    </r>
  </si>
  <si>
    <t xml:space="preserve">Name/ Tên:
</t>
  </si>
  <si>
    <r>
      <t xml:space="preserve">Position/ </t>
    </r>
    <r>
      <rPr>
        <i/>
        <sz val="10"/>
        <rFont val="Arial"/>
        <family val="2"/>
      </rPr>
      <t xml:space="preserve">Chức vụ:
</t>
    </r>
  </si>
  <si>
    <t>Dây thun</t>
  </si>
  <si>
    <t>Khay 2 tầng mica</t>
  </si>
  <si>
    <t>Khay 3 tầng mica</t>
  </si>
  <si>
    <t>Phương Nam Stationery</t>
  </si>
  <si>
    <t xml:space="preserve">  A35/32K Nguyễn Văn Linh-Q7</t>
  </si>
  <si>
    <t>Nơ rút gói quà loại nhỏ</t>
  </si>
  <si>
    <t>Nơ rút gói quà loại trung</t>
  </si>
  <si>
    <t>Nơ rút gói quà loại lớn</t>
  </si>
  <si>
    <t xml:space="preserve">ĐƠN ĐẶT HÀNG THÁNG </t>
  </si>
  <si>
    <t xml:space="preserve">Date/Ngày: </t>
  </si>
  <si>
    <r>
      <t xml:space="preserve"> Position/ </t>
    </r>
    <r>
      <rPr>
        <i/>
        <sz val="10"/>
        <rFont val="Arial"/>
        <family val="2"/>
      </rPr>
      <t xml:space="preserve">Chức vụ:
</t>
    </r>
  </si>
  <si>
    <t xml:space="preserve">Name/ Tên:Đặng Trần Nhật Ngân
</t>
  </si>
  <si>
    <t>Giấy phân trang</t>
  </si>
  <si>
    <t>Cây ghim giấy</t>
  </si>
  <si>
    <t>Lưỡi dao rọc giấy nhỏ (10 lưỡi)</t>
  </si>
  <si>
    <t>Lưỡi dao rọc giấy lớn (10 lưỡi)</t>
  </si>
  <si>
    <t>Giấy in A4 70</t>
  </si>
  <si>
    <t>Ram</t>
  </si>
</sst>
</file>

<file path=xl/styles.xml><?xml version="1.0" encoding="utf-8"?>
<styleSheet xmlns="http://schemas.openxmlformats.org/spreadsheetml/2006/main">
  <numFmts count="9">
    <numFmt numFmtId="43" formatCode="_(* #,##0.00_);_(* \(#,##0.00\);_(* &quot;-&quot;??_);_(@_)"/>
    <numFmt numFmtId="164" formatCode="#,##0.00&quot; &quot;;&quot; (&quot;#,##0.00&quot;)&quot;;&quot; -&quot;#&quot; &quot;;@&quot; &quot;"/>
    <numFmt numFmtId="165" formatCode="#,##0&quot; &quot;;&quot; (&quot;#,##0&quot;)&quot;;&quot; -&quot;#&quot; &quot;;@&quot; &quot;"/>
    <numFmt numFmtId="166" formatCode="dd\-mmm\-yy;@"/>
    <numFmt numFmtId="167" formatCode="mm/dd/yy"/>
    <numFmt numFmtId="168" formatCode="#,##0.00\ ;&quot; (&quot;#,##0.00\);&quot; -&quot;#\ ;@\ "/>
    <numFmt numFmtId="169" formatCode="#,##0\ ;&quot; (&quot;#,##0\);&quot; -&quot;#\ ;@\ "/>
    <numFmt numFmtId="170" formatCode="0\ ;&quot; (&quot;0\);&quot; -&quot;#\ ;@\ "/>
    <numFmt numFmtId="171" formatCode="_(* #,##0.00_);_(* \(#,##0.00\);_(* \-??_);_(@_)"/>
  </numFmts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1"/>
    </font>
    <font>
      <b/>
      <sz val="15"/>
      <color rgb="FF000000"/>
      <name val="Arial1"/>
    </font>
    <font>
      <b/>
      <sz val="10"/>
      <color rgb="FF000000"/>
      <name val="Arial1"/>
    </font>
    <font>
      <sz val="11"/>
      <color rgb="FF000000"/>
      <name val="Arial1"/>
    </font>
    <font>
      <b/>
      <sz val="14"/>
      <color rgb="FF000000"/>
      <name val="Arial"/>
      <family val="2"/>
    </font>
    <font>
      <i/>
      <sz val="14"/>
      <color rgb="FF000000"/>
      <name val="Arial"/>
      <family val="2"/>
    </font>
    <font>
      <i/>
      <sz val="10"/>
      <color rgb="FF000000"/>
      <name val="Arial1"/>
    </font>
    <font>
      <sz val="12"/>
      <color rgb="FF000000"/>
      <name val="Arial1"/>
    </font>
    <font>
      <sz val="10"/>
      <color rgb="FF000000"/>
      <name val="VNI-Times"/>
    </font>
    <font>
      <b/>
      <sz val="10"/>
      <color rgb="FF000000"/>
      <name val="Arial"/>
      <family val="2"/>
    </font>
    <font>
      <b/>
      <sz val="13"/>
      <color rgb="FF000000"/>
      <name val="Arial1"/>
    </font>
    <font>
      <b/>
      <sz val="12"/>
      <color rgb="FF000000"/>
      <name val="Arial1"/>
    </font>
    <font>
      <u/>
      <sz val="10"/>
      <color rgb="FF000000"/>
      <name val="Arial"/>
      <family val="2"/>
    </font>
    <font>
      <i/>
      <u/>
      <sz val="10"/>
      <color rgb="FF000000"/>
      <name val="Arial"/>
      <family val="2"/>
    </font>
    <font>
      <sz val="11"/>
      <color rgb="FF000000"/>
      <name val="Calibri"/>
      <family val="2"/>
    </font>
    <font>
      <i/>
      <sz val="10"/>
      <color rgb="FF000000"/>
      <name val="Arial"/>
      <family val="2"/>
    </font>
    <font>
      <sz val="10"/>
      <color rgb="FFFF0000"/>
      <name val="Arial1"/>
    </font>
    <font>
      <i/>
      <sz val="10"/>
      <color rgb="FFFF0000"/>
      <name val="Arial1"/>
    </font>
    <font>
      <sz val="10"/>
      <name val="Arial"/>
      <family val="2"/>
    </font>
    <font>
      <sz val="10"/>
      <color indexed="9"/>
      <name val="Arial"/>
      <family val="2"/>
    </font>
    <font>
      <sz val="20"/>
      <name val="Arial"/>
      <family val="2"/>
    </font>
    <font>
      <i/>
      <sz val="10"/>
      <name val="Arial"/>
      <family val="2"/>
    </font>
    <font>
      <sz val="10"/>
      <color indexed="8"/>
      <name val="Arial2"/>
    </font>
    <font>
      <sz val="10"/>
      <color indexed="8"/>
      <name val="Arial11"/>
    </font>
    <font>
      <sz val="10"/>
      <name val="Arial11"/>
    </font>
    <font>
      <b/>
      <sz val="12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0.5"/>
      <name val="Arial"/>
      <family val="2"/>
    </font>
    <font>
      <u/>
      <sz val="10"/>
      <name val="Arial"/>
      <family val="2"/>
    </font>
    <font>
      <i/>
      <sz val="11"/>
      <name val="Arial"/>
      <family val="2"/>
    </font>
    <font>
      <sz val="16"/>
      <color indexed="9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b/>
      <sz val="10"/>
      <color indexed="9"/>
      <name val="Arial"/>
      <family val="2"/>
    </font>
    <font>
      <b/>
      <sz val="20"/>
      <color indexed="9"/>
      <name val="Arial"/>
      <family val="2"/>
    </font>
    <font>
      <sz val="20"/>
      <color indexed="9"/>
      <name val="Arial"/>
      <family val="2"/>
    </font>
    <font>
      <sz val="11"/>
      <color indexed="8"/>
      <name val="Calibri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20"/>
      <color theme="1"/>
      <name val="Arial"/>
      <family val="2"/>
    </font>
    <font>
      <sz val="12"/>
      <color theme="1"/>
      <name val="Arial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9"/>
      <color indexed="9"/>
      <name val="Arial"/>
      <family val="2"/>
    </font>
    <font>
      <sz val="10"/>
      <name val="Arial1"/>
    </font>
    <font>
      <i/>
      <sz val="10"/>
      <name val="Arial1"/>
    </font>
    <font>
      <b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17"/>
        <bgColor indexed="57"/>
      </patternFill>
    </fill>
    <fill>
      <patternFill patternType="solid">
        <fgColor indexed="30"/>
        <bgColor indexed="48"/>
      </patternFill>
    </fill>
    <fill>
      <patternFill patternType="solid">
        <fgColor indexed="52"/>
        <bgColor indexed="53"/>
      </patternFill>
    </fill>
    <fill>
      <patternFill patternType="solid">
        <fgColor indexed="40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3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164" fontId="2" fillId="0" borderId="0" applyBorder="0" applyProtection="0"/>
    <xf numFmtId="0" fontId="2" fillId="0" borderId="0" applyNumberFormat="0" applyBorder="0" applyProtection="0"/>
    <xf numFmtId="0" fontId="20" fillId="0" borderId="0"/>
    <xf numFmtId="168" fontId="20" fillId="0" borderId="0" applyFill="0" applyBorder="0" applyAlignment="0" applyProtection="0"/>
    <xf numFmtId="0" fontId="20" fillId="0" borderId="0"/>
    <xf numFmtId="0" fontId="20" fillId="0" borderId="0"/>
    <xf numFmtId="0" fontId="21" fillId="0" borderId="0" applyNumberFormat="0" applyFill="0" applyBorder="0" applyAlignment="0" applyProtection="0"/>
    <xf numFmtId="0" fontId="20" fillId="2" borderId="0" applyNumberFormat="0" applyBorder="0" applyAlignment="0" applyProtection="0"/>
    <xf numFmtId="0" fontId="21" fillId="0" borderId="0" applyNumberFormat="0" applyFill="0" applyBorder="0" applyAlignment="0" applyProtection="0"/>
    <xf numFmtId="168" fontId="25" fillId="0" borderId="0" applyBorder="0" applyProtection="0"/>
    <xf numFmtId="43" fontId="1" fillId="0" borderId="0" applyFont="0" applyFill="0" applyBorder="0" applyAlignment="0" applyProtection="0"/>
    <xf numFmtId="0" fontId="1" fillId="0" borderId="0"/>
    <xf numFmtId="0" fontId="40" fillId="0" borderId="0"/>
    <xf numFmtId="171" fontId="40" fillId="0" borderId="0" applyFill="0" applyBorder="0" applyAlignment="0" applyProtection="0"/>
    <xf numFmtId="0" fontId="41" fillId="0" borderId="0"/>
    <xf numFmtId="0" fontId="20" fillId="0" borderId="0"/>
    <xf numFmtId="0" fontId="42" fillId="0" borderId="0">
      <alignment vertical="top"/>
    </xf>
    <xf numFmtId="0" fontId="40" fillId="0" borderId="0"/>
    <xf numFmtId="0" fontId="40" fillId="0" borderId="0"/>
  </cellStyleXfs>
  <cellXfs count="25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" fontId="2" fillId="0" borderId="0" xfId="0" applyNumberFormat="1" applyFont="1"/>
    <xf numFmtId="0" fontId="2" fillId="0" borderId="0" xfId="0" applyFont="1" applyAlignment="1">
      <alignment horizontal="left" vertical="center"/>
    </xf>
    <xf numFmtId="0" fontId="5" fillId="0" borderId="0" xfId="0" applyFont="1"/>
    <xf numFmtId="0" fontId="5" fillId="0" borderId="0" xfId="0" applyFont="1" applyAlignment="1">
      <alignment horizontal="center"/>
    </xf>
    <xf numFmtId="165" fontId="6" fillId="0" borderId="0" xfId="1" applyNumberFormat="1" applyFont="1" applyFill="1" applyAlignment="1">
      <alignment vertical="top"/>
    </xf>
    <xf numFmtId="165" fontId="7" fillId="0" borderId="0" xfId="1" applyNumberFormat="1" applyFont="1" applyFill="1" applyAlignment="1">
      <alignment vertical="top"/>
    </xf>
    <xf numFmtId="0" fontId="2" fillId="0" borderId="0" xfId="0" applyFont="1" applyAlignment="1">
      <alignment vertical="center"/>
    </xf>
    <xf numFmtId="0" fontId="9" fillId="0" borderId="0" xfId="0" applyFont="1"/>
    <xf numFmtId="0" fontId="2" fillId="0" borderId="0" xfId="0" applyFont="1" applyAlignment="1">
      <alignment vertical="top" wrapText="1"/>
    </xf>
    <xf numFmtId="165" fontId="2" fillId="0" borderId="0" xfId="2" applyNumberFormat="1" applyFont="1" applyFill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0" borderId="2" xfId="0" applyFont="1" applyBorder="1"/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14" fillId="0" borderId="0" xfId="0" applyFont="1"/>
    <xf numFmtId="0" fontId="16" fillId="0" borderId="0" xfId="0" applyFont="1" applyAlignment="1">
      <alignment horizontal="center"/>
    </xf>
    <xf numFmtId="0" fontId="16" fillId="0" borderId="0" xfId="0" applyFont="1"/>
    <xf numFmtId="165" fontId="16" fillId="0" borderId="0" xfId="1" applyNumberFormat="1" applyFont="1" applyFill="1" applyAlignment="1"/>
    <xf numFmtId="165" fontId="16" fillId="0" borderId="0" xfId="1" applyNumberFormat="1" applyFont="1" applyFill="1" applyAlignment="1">
      <alignment horizontal="right"/>
    </xf>
    <xf numFmtId="0" fontId="16" fillId="0" borderId="0" xfId="0" applyFont="1" applyAlignment="1">
      <alignment vertical="center"/>
    </xf>
    <xf numFmtId="1" fontId="16" fillId="0" borderId="0" xfId="0" applyNumberFormat="1" applyFont="1" applyAlignment="1">
      <alignment vertical="center"/>
    </xf>
    <xf numFmtId="0" fontId="16" fillId="0" borderId="0" xfId="0" applyFont="1" applyAlignment="1">
      <alignment horizontal="right" vertical="top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167" fontId="11" fillId="0" borderId="1" xfId="0" applyNumberFormat="1" applyFont="1" applyBorder="1" applyAlignment="1"/>
    <xf numFmtId="0" fontId="16" fillId="0" borderId="1" xfId="0" applyFont="1" applyBorder="1" applyAlignment="1">
      <alignment wrapText="1"/>
    </xf>
    <xf numFmtId="1" fontId="16" fillId="0" borderId="0" xfId="0" applyNumberFormat="1" applyFont="1"/>
    <xf numFmtId="0" fontId="16" fillId="0" borderId="2" xfId="0" applyFont="1" applyBorder="1"/>
    <xf numFmtId="0" fontId="16" fillId="0" borderId="1" xfId="0" applyFont="1" applyBorder="1"/>
    <xf numFmtId="0" fontId="16" fillId="0" borderId="1" xfId="0" applyFont="1" applyBorder="1" applyAlignment="1">
      <alignment horizontal="center"/>
    </xf>
    <xf numFmtId="0" fontId="16" fillId="0" borderId="0" xfId="0" applyFont="1" applyAlignment="1">
      <alignment vertical="top"/>
    </xf>
    <xf numFmtId="165" fontId="16" fillId="0" borderId="0" xfId="1" applyNumberFormat="1" applyFont="1" applyFill="1" applyAlignment="1">
      <alignment horizontal="left" vertical="top"/>
    </xf>
    <xf numFmtId="165" fontId="16" fillId="0" borderId="1" xfId="1" applyNumberFormat="1" applyFont="1" applyFill="1" applyBorder="1" applyAlignment="1">
      <alignment horizontal="right"/>
    </xf>
    <xf numFmtId="165" fontId="16" fillId="0" borderId="0" xfId="1" applyNumberFormat="1" applyFont="1" applyFill="1" applyAlignment="1">
      <alignment horizontal="center"/>
    </xf>
    <xf numFmtId="0" fontId="17" fillId="0" borderId="6" xfId="0" applyFont="1" applyBorder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165" fontId="16" fillId="0" borderId="0" xfId="1" applyNumberFormat="1" applyFont="1" applyFill="1" applyAlignment="1">
      <alignment horizontal="right" vertical="center"/>
    </xf>
    <xf numFmtId="0" fontId="16" fillId="0" borderId="0" xfId="0" applyFont="1" applyAlignment="1">
      <alignment horizontal="left" vertical="center"/>
    </xf>
    <xf numFmtId="49" fontId="16" fillId="0" borderId="0" xfId="1" applyNumberFormat="1" applyFont="1" applyFill="1" applyAlignment="1">
      <alignment horizontal="left"/>
    </xf>
    <xf numFmtId="0" fontId="18" fillId="0" borderId="3" xfId="0" applyFont="1" applyFill="1" applyBorder="1" applyAlignment="1">
      <alignment horizontal="center" vertical="center" wrapText="1"/>
    </xf>
    <xf numFmtId="0" fontId="30" fillId="0" borderId="8" xfId="6" applyFont="1" applyBorder="1" applyAlignment="1">
      <alignment horizontal="center" vertical="center" wrapText="1"/>
    </xf>
    <xf numFmtId="0" fontId="20" fillId="0" borderId="0" xfId="6"/>
    <xf numFmtId="0" fontId="27" fillId="0" borderId="0" xfId="6" applyFont="1" applyAlignment="1">
      <alignment horizontal="center" vertical="center"/>
    </xf>
    <xf numFmtId="0" fontId="20" fillId="0" borderId="0" xfId="6" applyAlignment="1">
      <alignment vertical="center"/>
    </xf>
    <xf numFmtId="0" fontId="20" fillId="0" borderId="0" xfId="6" applyAlignment="1">
      <alignment horizontal="center" vertical="center"/>
    </xf>
    <xf numFmtId="0" fontId="27" fillId="0" borderId="0" xfId="6" applyFont="1" applyAlignment="1">
      <alignment vertical="center"/>
    </xf>
    <xf numFmtId="0" fontId="30" fillId="0" borderId="7" xfId="6" applyFont="1" applyBorder="1" applyAlignment="1">
      <alignment horizontal="center" vertical="center" wrapText="1"/>
    </xf>
    <xf numFmtId="165" fontId="4" fillId="0" borderId="0" xfId="2" applyNumberFormat="1" applyFont="1" applyFill="1" applyAlignment="1"/>
    <xf numFmtId="165" fontId="4" fillId="0" borderId="0" xfId="2" applyNumberFormat="1" applyFont="1" applyFill="1" applyAlignment="1">
      <alignment horizontal="right"/>
    </xf>
    <xf numFmtId="165" fontId="2" fillId="0" borderId="0" xfId="2" applyNumberFormat="1" applyFont="1" applyFill="1" applyAlignment="1"/>
    <xf numFmtId="165" fontId="2" fillId="0" borderId="0" xfId="2" applyNumberFormat="1" applyFont="1" applyFill="1" applyAlignment="1">
      <alignment horizontal="right"/>
    </xf>
    <xf numFmtId="1" fontId="2" fillId="0" borderId="0" xfId="2" applyNumberFormat="1" applyFont="1" applyFill="1" applyAlignment="1"/>
    <xf numFmtId="165" fontId="2" fillId="0" borderId="0" xfId="2" applyNumberFormat="1" applyFont="1" applyFill="1" applyAlignment="1">
      <alignment horizontal="right" wrapText="1"/>
    </xf>
    <xf numFmtId="166" fontId="12" fillId="0" borderId="1" xfId="2" applyNumberFormat="1" applyFont="1" applyFill="1" applyBorder="1" applyAlignment="1">
      <alignment horizontal="left"/>
    </xf>
    <xf numFmtId="166" fontId="12" fillId="0" borderId="2" xfId="2" applyNumberFormat="1" applyFont="1" applyFill="1" applyBorder="1" applyAlignment="1"/>
    <xf numFmtId="0" fontId="22" fillId="0" borderId="11" xfId="6" applyFont="1" applyBorder="1" applyAlignment="1">
      <alignment horizontal="center" vertical="center"/>
    </xf>
    <xf numFmtId="0" fontId="38" fillId="3" borderId="11" xfId="6" applyFont="1" applyFill="1" applyBorder="1" applyAlignment="1">
      <alignment horizontal="center" vertical="center"/>
    </xf>
    <xf numFmtId="0" fontId="39" fillId="4" borderId="11" xfId="6" applyFont="1" applyFill="1" applyBorder="1" applyAlignment="1">
      <alignment horizontal="center" vertical="center"/>
    </xf>
    <xf numFmtId="0" fontId="39" fillId="5" borderId="11" xfId="6" applyFont="1" applyFill="1" applyBorder="1" applyAlignment="1">
      <alignment horizontal="center" vertical="center"/>
    </xf>
    <xf numFmtId="0" fontId="39" fillId="6" borderId="11" xfId="6" applyFont="1" applyFill="1" applyBorder="1" applyAlignment="1">
      <alignment horizontal="center" vertical="center"/>
    </xf>
    <xf numFmtId="0" fontId="22" fillId="7" borderId="11" xfId="6" applyFont="1" applyFill="1" applyBorder="1" applyAlignment="1">
      <alignment horizontal="center" vertical="center"/>
    </xf>
    <xf numFmtId="0" fontId="37" fillId="3" borderId="11" xfId="6" applyFont="1" applyFill="1" applyBorder="1" applyAlignment="1">
      <alignment horizontal="center" vertical="center"/>
    </xf>
    <xf numFmtId="0" fontId="37" fillId="3" borderId="11" xfId="6" applyFont="1" applyFill="1" applyBorder="1" applyAlignment="1">
      <alignment horizontal="center" vertical="center" wrapText="1"/>
    </xf>
    <xf numFmtId="0" fontId="37" fillId="4" borderId="11" xfId="6" applyFont="1" applyFill="1" applyBorder="1" applyAlignment="1">
      <alignment horizontal="center" vertical="center"/>
    </xf>
    <xf numFmtId="0" fontId="37" fillId="4" borderId="11" xfId="6" applyFont="1" applyFill="1" applyBorder="1" applyAlignment="1">
      <alignment horizontal="center" vertical="center" wrapText="1"/>
    </xf>
    <xf numFmtId="0" fontId="37" fillId="5" borderId="11" xfId="6" applyFont="1" applyFill="1" applyBorder="1" applyAlignment="1">
      <alignment horizontal="center" vertical="center"/>
    </xf>
    <xf numFmtId="0" fontId="37" fillId="6" borderId="11" xfId="6" applyFont="1" applyFill="1" applyBorder="1" applyAlignment="1">
      <alignment horizontal="center" vertical="center" wrapText="1"/>
    </xf>
    <xf numFmtId="0" fontId="37" fillId="6" borderId="11" xfId="6" applyFont="1" applyFill="1" applyBorder="1" applyAlignment="1">
      <alignment horizontal="center" vertical="center"/>
    </xf>
    <xf numFmtId="0" fontId="30" fillId="0" borderId="12" xfId="6" applyFont="1" applyBorder="1" applyAlignment="1">
      <alignment horizontal="center" vertical="center" wrapText="1"/>
    </xf>
    <xf numFmtId="0" fontId="36" fillId="8" borderId="11" xfId="6" applyFont="1" applyFill="1" applyBorder="1" applyAlignment="1">
      <alignment horizontal="center" vertical="center"/>
    </xf>
    <xf numFmtId="0" fontId="30" fillId="0" borderId="7" xfId="6" applyFont="1" applyBorder="1" applyAlignment="1">
      <alignment horizontal="center" vertical="center" wrapText="1"/>
    </xf>
    <xf numFmtId="0" fontId="20" fillId="0" borderId="9" xfId="6" applyFont="1" applyBorder="1" applyAlignment="1">
      <alignment horizontal="center" vertical="center" wrapText="1"/>
    </xf>
    <xf numFmtId="170" fontId="24" fillId="2" borderId="11" xfId="11" applyNumberFormat="1" applyFont="1" applyFill="1" applyBorder="1" applyAlignment="1" applyProtection="1">
      <alignment horizontal="center" vertical="center"/>
    </xf>
    <xf numFmtId="0" fontId="30" fillId="0" borderId="13" xfId="6" applyFont="1" applyBorder="1" applyAlignment="1">
      <alignment horizontal="left" vertical="center" wrapText="1"/>
    </xf>
    <xf numFmtId="3" fontId="30" fillId="9" borderId="13" xfId="6" applyNumberFormat="1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vertical="center" wrapText="1"/>
    </xf>
    <xf numFmtId="0" fontId="20" fillId="0" borderId="0" xfId="6"/>
    <xf numFmtId="0" fontId="20" fillId="0" borderId="0" xfId="6" applyFont="1" applyAlignment="1">
      <alignment horizontal="center"/>
    </xf>
    <xf numFmtId="0" fontId="29" fillId="0" borderId="0" xfId="6" applyFont="1" applyAlignment="1">
      <alignment horizontal="center"/>
    </xf>
    <xf numFmtId="0" fontId="20" fillId="0" borderId="0" xfId="6" applyFont="1" applyBorder="1" applyAlignment="1">
      <alignment vertical="center" wrapText="1"/>
    </xf>
    <xf numFmtId="0" fontId="20" fillId="0" borderId="0" xfId="6"/>
    <xf numFmtId="169" fontId="20" fillId="0" borderId="0" xfId="5" applyNumberFormat="1" applyFont="1" applyFill="1" applyBorder="1" applyAlignment="1" applyProtection="1">
      <alignment horizontal="center"/>
    </xf>
    <xf numFmtId="0" fontId="20" fillId="0" borderId="0" xfId="6" applyAlignment="1">
      <alignment horizontal="center"/>
    </xf>
    <xf numFmtId="169" fontId="32" fillId="0" borderId="0" xfId="5" applyNumberFormat="1" applyFont="1" applyFill="1" applyBorder="1" applyAlignment="1" applyProtection="1">
      <alignment horizontal="center"/>
    </xf>
    <xf numFmtId="0" fontId="33" fillId="0" borderId="0" xfId="6" applyFont="1" applyBorder="1" applyAlignment="1">
      <alignment vertical="center" wrapText="1"/>
    </xf>
    <xf numFmtId="0" fontId="0" fillId="0" borderId="0" xfId="0" applyAlignment="1">
      <alignment horizontal="center"/>
    </xf>
    <xf numFmtId="0" fontId="38" fillId="3" borderId="17" xfId="6" applyFont="1" applyFill="1" applyBorder="1" applyAlignment="1">
      <alignment horizontal="center" vertical="center"/>
    </xf>
    <xf numFmtId="0" fontId="39" fillId="4" borderId="17" xfId="6" applyFont="1" applyFill="1" applyBorder="1" applyAlignment="1">
      <alignment horizontal="center" vertical="center"/>
    </xf>
    <xf numFmtId="0" fontId="39" fillId="5" borderId="17" xfId="6" applyFont="1" applyFill="1" applyBorder="1" applyAlignment="1">
      <alignment horizontal="center" vertical="center"/>
    </xf>
    <xf numFmtId="0" fontId="39" fillId="6" borderId="17" xfId="6" applyFont="1" applyFill="1" applyBorder="1" applyAlignment="1">
      <alignment horizontal="center" vertical="center"/>
    </xf>
    <xf numFmtId="0" fontId="22" fillId="7" borderId="17" xfId="6" applyFont="1" applyFill="1" applyBorder="1" applyAlignment="1">
      <alignment horizontal="center" vertical="center"/>
    </xf>
    <xf numFmtId="165" fontId="1" fillId="0" borderId="0" xfId="1" applyNumberFormat="1" applyFill="1" applyBorder="1" applyAlignment="1">
      <alignment horizontal="right" vertical="center" wrapText="1"/>
    </xf>
    <xf numFmtId="0" fontId="25" fillId="0" borderId="11" xfId="16" applyFont="1" applyBorder="1" applyAlignment="1">
      <alignment horizontal="center" vertical="center"/>
    </xf>
    <xf numFmtId="0" fontId="20" fillId="0" borderId="11" xfId="16" applyFont="1" applyBorder="1" applyAlignment="1">
      <alignment horizontal="center" vertical="center" wrapText="1"/>
    </xf>
    <xf numFmtId="0" fontId="40" fillId="0" borderId="11" xfId="19" applyFont="1" applyBorder="1" applyAlignment="1">
      <alignment horizontal="center"/>
    </xf>
    <xf numFmtId="169" fontId="20" fillId="0" borderId="9" xfId="5" applyNumberFormat="1" applyFont="1" applyFill="1" applyBorder="1" applyAlignment="1" applyProtection="1">
      <alignment horizontal="center" vertical="center" wrapText="1"/>
    </xf>
    <xf numFmtId="0" fontId="20" fillId="0" borderId="10" xfId="6" applyFont="1" applyBorder="1" applyAlignment="1">
      <alignment horizontal="center" vertical="center" wrapText="1"/>
    </xf>
    <xf numFmtId="0" fontId="20" fillId="0" borderId="11" xfId="16" applyFont="1" applyFill="1" applyBorder="1" applyAlignment="1">
      <alignment horizontal="center" vertical="center" wrapText="1"/>
    </xf>
    <xf numFmtId="0" fontId="20" fillId="0" borderId="11" xfId="16" applyFont="1" applyBorder="1" applyAlignment="1">
      <alignment horizontal="center"/>
    </xf>
    <xf numFmtId="0" fontId="24" fillId="2" borderId="11" xfId="16" applyFont="1" applyFill="1" applyBorder="1" applyAlignment="1">
      <alignment horizontal="center" vertical="center"/>
    </xf>
    <xf numFmtId="0" fontId="26" fillId="0" borderId="11" xfId="16" applyFont="1" applyBorder="1" applyAlignment="1">
      <alignment horizontal="center" vertical="center"/>
    </xf>
    <xf numFmtId="0" fontId="40" fillId="0" borderId="11" xfId="14" applyFont="1" applyBorder="1" applyAlignment="1">
      <alignment horizontal="center" vertical="center"/>
    </xf>
    <xf numFmtId="169" fontId="20" fillId="0" borderId="11" xfId="5" applyNumberFormat="1" applyFont="1" applyFill="1" applyBorder="1" applyAlignment="1" applyProtection="1">
      <alignment horizontal="center" vertical="center" wrapText="1"/>
    </xf>
    <xf numFmtId="0" fontId="40" fillId="0" borderId="11" xfId="14" applyBorder="1" applyAlignment="1">
      <alignment horizontal="center"/>
    </xf>
    <xf numFmtId="169" fontId="20" fillId="0" borderId="11" xfId="5" applyNumberFormat="1" applyFont="1" applyFill="1" applyBorder="1" applyAlignment="1" applyProtection="1">
      <alignment horizontal="center"/>
    </xf>
    <xf numFmtId="3" fontId="30" fillId="9" borderId="16" xfId="6" applyNumberFormat="1" applyFont="1" applyFill="1" applyBorder="1" applyAlignment="1">
      <alignment horizontal="left" vertical="center" wrapText="1"/>
    </xf>
    <xf numFmtId="3" fontId="40" fillId="0" borderId="11" xfId="14" applyNumberFormat="1" applyBorder="1" applyAlignment="1">
      <alignment horizontal="center"/>
    </xf>
    <xf numFmtId="0" fontId="43" fillId="0" borderId="11" xfId="6" applyFont="1" applyBorder="1" applyAlignment="1">
      <alignment horizontal="center" vertical="center"/>
    </xf>
    <xf numFmtId="0" fontId="43" fillId="0" borderId="17" xfId="6" applyFont="1" applyBorder="1" applyAlignment="1">
      <alignment horizontal="center" vertical="center"/>
    </xf>
    <xf numFmtId="0" fontId="44" fillId="0" borderId="17" xfId="0" applyFont="1" applyBorder="1" applyAlignment="1">
      <alignment horizontal="center"/>
    </xf>
    <xf numFmtId="0" fontId="44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0" xfId="0"/>
    <xf numFmtId="0" fontId="2" fillId="0" borderId="0" xfId="0" applyFont="1"/>
    <xf numFmtId="165" fontId="1" fillId="0" borderId="3" xfId="1" applyNumberFormat="1" applyFill="1" applyBorder="1" applyAlignment="1">
      <alignment horizontal="right" vertical="center" wrapText="1"/>
    </xf>
    <xf numFmtId="0" fontId="38" fillId="3" borderId="11" xfId="6" applyFont="1" applyFill="1" applyBorder="1" applyAlignment="1">
      <alignment horizontal="center" vertical="center"/>
    </xf>
    <xf numFmtId="0" fontId="39" fillId="6" borderId="11" xfId="6" applyFont="1" applyFill="1" applyBorder="1" applyAlignment="1">
      <alignment horizontal="center" vertical="center"/>
    </xf>
    <xf numFmtId="0" fontId="22" fillId="7" borderId="11" xfId="6" applyFont="1" applyFill="1" applyBorder="1" applyAlignment="1">
      <alignment horizontal="center" vertical="center"/>
    </xf>
    <xf numFmtId="9" fontId="2" fillId="0" borderId="0" xfId="0" applyNumberFormat="1" applyFont="1" applyAlignment="1">
      <alignment horizontal="center"/>
    </xf>
    <xf numFmtId="0" fontId="2" fillId="0" borderId="4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vertical="center" wrapText="1"/>
    </xf>
    <xf numFmtId="3" fontId="30" fillId="9" borderId="11" xfId="6" applyNumberFormat="1" applyFont="1" applyFill="1" applyBorder="1" applyAlignment="1">
      <alignment horizontal="left" vertical="center" wrapText="1"/>
    </xf>
    <xf numFmtId="0" fontId="38" fillId="4" borderId="11" xfId="6" applyFont="1" applyFill="1" applyBorder="1" applyAlignment="1">
      <alignment horizontal="center" vertical="center"/>
    </xf>
    <xf numFmtId="0" fontId="38" fillId="5" borderId="11" xfId="6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0" fillId="0" borderId="11" xfId="19" applyFont="1" applyFill="1" applyBorder="1" applyAlignment="1">
      <alignment horizontal="center"/>
    </xf>
    <xf numFmtId="0" fontId="30" fillId="0" borderId="20" xfId="6" applyFont="1" applyBorder="1" applyAlignment="1">
      <alignment horizontal="center" vertical="center" wrapText="1"/>
    </xf>
    <xf numFmtId="0" fontId="30" fillId="0" borderId="16" xfId="6" applyFont="1" applyBorder="1" applyAlignment="1">
      <alignment horizontal="left" vertical="center" wrapText="1"/>
    </xf>
    <xf numFmtId="3" fontId="30" fillId="9" borderId="17" xfId="6" applyNumberFormat="1" applyFont="1" applyFill="1" applyBorder="1" applyAlignment="1">
      <alignment horizontal="left" vertical="center" wrapText="1"/>
    </xf>
    <xf numFmtId="0" fontId="44" fillId="0" borderId="17" xfId="0" applyFont="1" applyBorder="1"/>
    <xf numFmtId="0" fontId="38" fillId="4" borderId="17" xfId="6" applyFont="1" applyFill="1" applyBorder="1" applyAlignment="1">
      <alignment horizontal="center" vertical="center"/>
    </xf>
    <xf numFmtId="0" fontId="38" fillId="5" borderId="17" xfId="6" applyFont="1" applyFill="1" applyBorder="1" applyAlignment="1">
      <alignment horizontal="center" vertical="center"/>
    </xf>
    <xf numFmtId="0" fontId="30" fillId="0" borderId="11" xfId="6" applyFont="1" applyBorder="1" applyAlignment="1">
      <alignment horizontal="left" vertical="center" wrapText="1"/>
    </xf>
    <xf numFmtId="0" fontId="45" fillId="0" borderId="11" xfId="0" applyFont="1" applyBorder="1" applyAlignment="1">
      <alignment horizontal="center" vertical="center"/>
    </xf>
    <xf numFmtId="0" fontId="38" fillId="6" borderId="11" xfId="6" applyFont="1" applyFill="1" applyBorder="1" applyAlignment="1">
      <alignment horizontal="center" vertical="center"/>
    </xf>
    <xf numFmtId="0" fontId="43" fillId="7" borderId="11" xfId="6" applyFont="1" applyFill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164" fontId="13" fillId="0" borderId="21" xfId="2" applyFont="1" applyFill="1" applyBorder="1" applyAlignment="1">
      <alignment horizontal="center" wrapText="1"/>
    </xf>
    <xf numFmtId="3" fontId="2" fillId="0" borderId="21" xfId="0" applyNumberFormat="1" applyFont="1" applyBorder="1" applyAlignment="1">
      <alignment horizontal="center"/>
    </xf>
    <xf numFmtId="0" fontId="2" fillId="0" borderId="11" xfId="0" applyFont="1" applyFill="1" applyBorder="1" applyAlignment="1">
      <alignment vertical="center" wrapText="1"/>
    </xf>
    <xf numFmtId="165" fontId="2" fillId="0" borderId="0" xfId="2" applyNumberFormat="1" applyFont="1" applyFill="1" applyBorder="1" applyAlignment="1"/>
    <xf numFmtId="0" fontId="0" fillId="0" borderId="11" xfId="0" applyFill="1" applyBorder="1" applyAlignment="1">
      <alignment horizontal="center"/>
    </xf>
    <xf numFmtId="0" fontId="47" fillId="0" borderId="11" xfId="0" applyFont="1" applyBorder="1"/>
    <xf numFmtId="0" fontId="48" fillId="3" borderId="11" xfId="6" applyFont="1" applyFill="1" applyBorder="1" applyAlignment="1">
      <alignment horizontal="center" vertical="center"/>
    </xf>
    <xf numFmtId="3" fontId="20" fillId="0" borderId="0" xfId="6" applyNumberFormat="1" applyAlignment="1">
      <alignment horizontal="center" vertical="center"/>
    </xf>
    <xf numFmtId="3" fontId="20" fillId="0" borderId="0" xfId="6" applyNumberFormat="1"/>
    <xf numFmtId="3" fontId="36" fillId="8" borderId="11" xfId="6" applyNumberFormat="1" applyFont="1" applyFill="1" applyBorder="1" applyAlignment="1">
      <alignment horizontal="center" vertical="center"/>
    </xf>
    <xf numFmtId="3" fontId="0" fillId="0" borderId="0" xfId="0" applyNumberFormat="1"/>
    <xf numFmtId="0" fontId="30" fillId="0" borderId="13" xfId="6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18" fillId="0" borderId="3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vertical="center" wrapText="1"/>
    </xf>
    <xf numFmtId="0" fontId="18" fillId="0" borderId="3" xfId="0" applyFont="1" applyFill="1" applyBorder="1" applyAlignment="1">
      <alignment horizontal="center" vertical="center" wrapText="1"/>
    </xf>
    <xf numFmtId="169" fontId="20" fillId="0" borderId="0" xfId="5" applyNumberFormat="1" applyFont="1" applyFill="1" applyBorder="1" applyAlignment="1" applyProtection="1">
      <alignment vertical="top"/>
    </xf>
    <xf numFmtId="0" fontId="29" fillId="0" borderId="0" xfId="6" applyFont="1" applyBorder="1" applyAlignment="1">
      <alignment wrapText="1"/>
    </xf>
    <xf numFmtId="165" fontId="2" fillId="0" borderId="18" xfId="2" applyNumberFormat="1" applyFont="1" applyFill="1" applyBorder="1" applyAlignment="1">
      <alignment vertical="center" wrapText="1"/>
    </xf>
    <xf numFmtId="1" fontId="2" fillId="0" borderId="23" xfId="0" applyNumberFormat="1" applyFont="1" applyBorder="1" applyAlignment="1">
      <alignment vertical="center"/>
    </xf>
    <xf numFmtId="165" fontId="2" fillId="0" borderId="0" xfId="2" applyNumberFormat="1" applyFont="1" applyFill="1" applyBorder="1" applyAlignment="1">
      <alignment horizontal="center" vertical="center" wrapText="1"/>
    </xf>
    <xf numFmtId="0" fontId="20" fillId="0" borderId="0" xfId="6" applyBorder="1" applyAlignment="1">
      <alignment horizontal="center"/>
    </xf>
    <xf numFmtId="0" fontId="20" fillId="0" borderId="0" xfId="6" applyBorder="1"/>
    <xf numFmtId="165" fontId="2" fillId="0" borderId="0" xfId="2" applyNumberFormat="1" applyFont="1" applyFill="1" applyBorder="1" applyAlignment="1">
      <alignment horizontal="right"/>
    </xf>
    <xf numFmtId="0" fontId="36" fillId="10" borderId="11" xfId="6" applyFont="1" applyFill="1" applyBorder="1" applyAlignment="1">
      <alignment horizontal="center" vertical="center"/>
    </xf>
    <xf numFmtId="0" fontId="2" fillId="0" borderId="0" xfId="0" applyFont="1" applyBorder="1" applyAlignment="1"/>
    <xf numFmtId="165" fontId="4" fillId="0" borderId="11" xfId="2" applyNumberFormat="1" applyFont="1" applyFill="1" applyBorder="1" applyAlignment="1">
      <alignment horizontal="right"/>
    </xf>
    <xf numFmtId="0" fontId="2" fillId="0" borderId="25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0" fontId="36" fillId="10" borderId="24" xfId="6" applyFont="1" applyFill="1" applyBorder="1" applyAlignment="1">
      <alignment horizontal="center" vertical="center"/>
    </xf>
    <xf numFmtId="0" fontId="18" fillId="11" borderId="11" xfId="0" applyFont="1" applyFill="1" applyBorder="1" applyAlignment="1">
      <alignment horizontal="center" vertical="center" wrapText="1"/>
    </xf>
    <xf numFmtId="0" fontId="49" fillId="0" borderId="3" xfId="0" applyFont="1" applyFill="1" applyBorder="1" applyAlignment="1">
      <alignment horizontal="center" vertical="center" wrapText="1"/>
    </xf>
    <xf numFmtId="0" fontId="49" fillId="0" borderId="4" xfId="0" applyFont="1" applyFill="1" applyBorder="1" applyAlignment="1">
      <alignment horizontal="center" vertical="center" wrapText="1"/>
    </xf>
    <xf numFmtId="3" fontId="49" fillId="0" borderId="3" xfId="2" applyNumberFormat="1" applyFont="1" applyFill="1" applyBorder="1" applyAlignment="1">
      <alignment horizontal="center" vertical="center" wrapText="1"/>
    </xf>
    <xf numFmtId="0" fontId="49" fillId="0" borderId="18" xfId="0" applyFont="1" applyFill="1" applyBorder="1" applyAlignment="1">
      <alignment horizontal="center" vertical="center" wrapText="1"/>
    </xf>
    <xf numFmtId="0" fontId="49" fillId="0" borderId="5" xfId="0" applyFont="1" applyFill="1" applyBorder="1" applyAlignment="1">
      <alignment horizontal="center" vertical="center" wrapText="1"/>
    </xf>
    <xf numFmtId="0" fontId="49" fillId="0" borderId="11" xfId="0" applyFont="1" applyFill="1" applyBorder="1" applyAlignment="1">
      <alignment horizontal="center" vertical="center" wrapText="1"/>
    </xf>
    <xf numFmtId="3" fontId="49" fillId="0" borderId="15" xfId="2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0" fillId="0" borderId="0" xfId="6" applyFont="1" applyBorder="1" applyAlignment="1">
      <alignment horizontal="center" vertical="top" wrapText="1"/>
    </xf>
    <xf numFmtId="0" fontId="29" fillId="0" borderId="0" xfId="6" applyFont="1" applyBorder="1" applyAlignment="1">
      <alignment horizontal="center"/>
    </xf>
    <xf numFmtId="0" fontId="18" fillId="0" borderId="27" xfId="0" applyFont="1" applyFill="1" applyBorder="1" applyAlignment="1">
      <alignment horizontal="center" vertical="center" wrapText="1"/>
    </xf>
    <xf numFmtId="0" fontId="0" fillId="0" borderId="0" xfId="0" applyBorder="1"/>
    <xf numFmtId="0" fontId="27" fillId="0" borderId="0" xfId="6" applyFont="1" applyBorder="1" applyAlignment="1">
      <alignment horizontal="center" vertical="top" wrapText="1"/>
    </xf>
    <xf numFmtId="0" fontId="2" fillId="0" borderId="0" xfId="0" applyFont="1" applyBorder="1"/>
    <xf numFmtId="0" fontId="2" fillId="0" borderId="28" xfId="0" applyFont="1" applyFill="1" applyBorder="1" applyAlignment="1">
      <alignment vertical="center" wrapText="1"/>
    </xf>
    <xf numFmtId="3" fontId="2" fillId="0" borderId="28" xfId="0" applyNumberFormat="1" applyFont="1" applyFill="1" applyBorder="1" applyAlignment="1">
      <alignment vertical="center" wrapText="1"/>
    </xf>
    <xf numFmtId="165" fontId="1" fillId="0" borderId="27" xfId="1" applyNumberFormat="1" applyFill="1" applyBorder="1" applyAlignment="1">
      <alignment horizontal="right" vertical="center" wrapText="1"/>
    </xf>
    <xf numFmtId="0" fontId="18" fillId="0" borderId="11" xfId="0" applyFont="1" applyFill="1" applyBorder="1" applyAlignment="1">
      <alignment horizontal="center" vertical="center" wrapText="1"/>
    </xf>
    <xf numFmtId="0" fontId="18" fillId="0" borderId="11" xfId="0" applyFont="1" applyFill="1" applyBorder="1" applyAlignment="1">
      <alignment vertical="center" wrapText="1"/>
    </xf>
    <xf numFmtId="165" fontId="18" fillId="0" borderId="11" xfId="2" applyNumberFormat="1" applyFont="1" applyFill="1" applyBorder="1" applyAlignment="1">
      <alignment horizontal="center" vertical="center" wrapText="1"/>
    </xf>
    <xf numFmtId="165" fontId="2" fillId="0" borderId="11" xfId="2" applyNumberFormat="1" applyFont="1" applyFill="1" applyBorder="1" applyAlignment="1">
      <alignment horizontal="center" vertical="center" wrapText="1"/>
    </xf>
    <xf numFmtId="0" fontId="51" fillId="0" borderId="0" xfId="6" applyFont="1" applyBorder="1" applyAlignment="1">
      <alignment horizontal="center" vertical="top" wrapText="1"/>
    </xf>
    <xf numFmtId="0" fontId="49" fillId="0" borderId="3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wrapText="1"/>
    </xf>
    <xf numFmtId="0" fontId="10" fillId="0" borderId="0" xfId="3" applyFont="1" applyFill="1" applyAlignment="1">
      <alignment horizontal="left"/>
    </xf>
    <xf numFmtId="0" fontId="2" fillId="0" borderId="0" xfId="0" applyFont="1" applyFill="1" applyAlignment="1">
      <alignment horizontal="left" vertical="top" wrapText="1"/>
    </xf>
    <xf numFmtId="0" fontId="49" fillId="0" borderId="4" xfId="0" applyFont="1" applyFill="1" applyBorder="1" applyAlignment="1">
      <alignment horizontal="left" vertical="center" wrapText="1"/>
    </xf>
    <xf numFmtId="0" fontId="49" fillId="0" borderId="2" xfId="0" applyFont="1" applyFill="1" applyBorder="1" applyAlignment="1">
      <alignment horizontal="left" vertical="center" wrapText="1"/>
    </xf>
    <xf numFmtId="0" fontId="49" fillId="0" borderId="15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/>
    </xf>
    <xf numFmtId="0" fontId="16" fillId="0" borderId="0" xfId="0" applyFont="1" applyAlignment="1">
      <alignment horizontal="left" wrapText="1"/>
    </xf>
    <xf numFmtId="164" fontId="2" fillId="0" borderId="24" xfId="0" applyNumberFormat="1" applyFont="1" applyFill="1" applyBorder="1" applyAlignment="1">
      <alignment horizontal="center" vertical="center" wrapText="1"/>
    </xf>
    <xf numFmtId="164" fontId="2" fillId="0" borderId="22" xfId="0" applyNumberFormat="1" applyFont="1" applyFill="1" applyBorder="1" applyAlignment="1">
      <alignment horizontal="center" vertical="center" wrapText="1"/>
    </xf>
    <xf numFmtId="164" fontId="2" fillId="0" borderId="19" xfId="0" applyNumberFormat="1" applyFont="1" applyFill="1" applyBorder="1" applyAlignment="1">
      <alignment horizontal="center" vertical="center" wrapText="1"/>
    </xf>
    <xf numFmtId="0" fontId="49" fillId="0" borderId="18" xfId="0" applyFont="1" applyFill="1" applyBorder="1" applyAlignment="1">
      <alignment horizontal="left" vertical="center" wrapText="1"/>
    </xf>
    <xf numFmtId="0" fontId="49" fillId="0" borderId="5" xfId="0" applyFont="1" applyFill="1" applyBorder="1" applyAlignment="1">
      <alignment horizontal="left" vertical="center" wrapText="1"/>
    </xf>
    <xf numFmtId="0" fontId="20" fillId="0" borderId="0" xfId="6" applyFont="1" applyBorder="1" applyAlignment="1">
      <alignment horizontal="left" vertical="center" wrapText="1"/>
    </xf>
    <xf numFmtId="0" fontId="20" fillId="0" borderId="0" xfId="6" applyFont="1" applyAlignment="1">
      <alignment horizontal="left" vertical="top"/>
    </xf>
    <xf numFmtId="169" fontId="20" fillId="0" borderId="0" xfId="5" applyNumberFormat="1" applyFont="1" applyFill="1" applyBorder="1" applyAlignment="1" applyProtection="1">
      <alignment horizontal="left" vertical="top"/>
    </xf>
    <xf numFmtId="0" fontId="20" fillId="0" borderId="0" xfId="6" applyFont="1" applyAlignment="1">
      <alignment horizontal="center" vertical="top"/>
    </xf>
    <xf numFmtId="0" fontId="33" fillId="0" borderId="0" xfId="6" applyFont="1" applyBorder="1" applyAlignment="1">
      <alignment horizontal="center" vertical="center" wrapText="1"/>
    </xf>
    <xf numFmtId="0" fontId="20" fillId="0" borderId="0" xfId="6" applyFont="1" applyBorder="1" applyAlignment="1">
      <alignment horizontal="center" vertical="center" wrapText="1"/>
    </xf>
    <xf numFmtId="0" fontId="33" fillId="0" borderId="0" xfId="6" applyFont="1" applyBorder="1" applyAlignment="1">
      <alignment vertical="center" wrapText="1"/>
    </xf>
    <xf numFmtId="0" fontId="29" fillId="0" borderId="0" xfId="6" applyFont="1" applyBorder="1" applyAlignment="1">
      <alignment horizontal="left" wrapText="1"/>
    </xf>
    <xf numFmtId="0" fontId="28" fillId="0" borderId="0" xfId="6" applyFont="1" applyAlignment="1">
      <alignment horizontal="center"/>
    </xf>
    <xf numFmtId="0" fontId="20" fillId="0" borderId="0" xfId="6" applyFont="1" applyAlignment="1">
      <alignment horizontal="center"/>
    </xf>
    <xf numFmtId="0" fontId="0" fillId="0" borderId="0" xfId="0" applyAlignment="1">
      <alignment horizontal="center"/>
    </xf>
    <xf numFmtId="0" fontId="30" fillId="0" borderId="14" xfId="6" applyFont="1" applyBorder="1" applyAlignment="1">
      <alignment horizontal="center"/>
    </xf>
    <xf numFmtId="0" fontId="29" fillId="0" borderId="26" xfId="6" applyFont="1" applyBorder="1" applyAlignment="1">
      <alignment horizontal="center"/>
    </xf>
    <xf numFmtId="0" fontId="20" fillId="0" borderId="0" xfId="6" applyFont="1" applyBorder="1" applyAlignment="1">
      <alignment horizontal="center" wrapText="1"/>
    </xf>
    <xf numFmtId="0" fontId="20" fillId="0" borderId="0" xfId="6" applyFont="1" applyBorder="1" applyAlignment="1">
      <alignment horizontal="center" vertical="center"/>
    </xf>
    <xf numFmtId="0" fontId="30" fillId="0" borderId="0" xfId="6" applyFont="1" applyBorder="1" applyAlignment="1">
      <alignment horizontal="right"/>
    </xf>
    <xf numFmtId="0" fontId="20" fillId="0" borderId="14" xfId="6" applyFont="1" applyBorder="1" applyAlignment="1">
      <alignment horizontal="center" vertical="top" wrapText="1"/>
    </xf>
    <xf numFmtId="0" fontId="20" fillId="0" borderId="26" xfId="6" applyFont="1" applyBorder="1" applyAlignment="1">
      <alignment horizontal="center" vertical="top" wrapText="1"/>
    </xf>
    <xf numFmtId="0" fontId="20" fillId="0" borderId="14" xfId="6" applyFont="1" applyBorder="1" applyAlignment="1">
      <alignment horizontal="right"/>
    </xf>
    <xf numFmtId="0" fontId="30" fillId="0" borderId="0" xfId="6" applyFont="1" applyBorder="1" applyAlignment="1">
      <alignment horizontal="center"/>
    </xf>
    <xf numFmtId="0" fontId="20" fillId="0" borderId="0" xfId="6" applyFont="1" applyBorder="1" applyAlignment="1">
      <alignment horizontal="center" vertical="top" wrapText="1"/>
    </xf>
    <xf numFmtId="0" fontId="31" fillId="0" borderId="14" xfId="6" applyFont="1" applyBorder="1" applyAlignment="1">
      <alignment horizontal="center"/>
    </xf>
    <xf numFmtId="0" fontId="31" fillId="0" borderId="0" xfId="6" applyFont="1" applyBorder="1" applyAlignment="1">
      <alignment horizontal="center"/>
    </xf>
    <xf numFmtId="0" fontId="31" fillId="0" borderId="22" xfId="7" applyFont="1" applyFill="1" applyBorder="1" applyAlignment="1">
      <alignment horizontal="right"/>
    </xf>
    <xf numFmtId="0" fontId="20" fillId="0" borderId="0" xfId="6" applyFont="1" applyBorder="1" applyAlignment="1">
      <alignment horizontal="left" vertical="top"/>
    </xf>
    <xf numFmtId="0" fontId="34" fillId="6" borderId="11" xfId="6" applyFont="1" applyFill="1" applyBorder="1" applyAlignment="1">
      <alignment horizontal="center" vertical="center"/>
    </xf>
    <xf numFmtId="0" fontId="35" fillId="7" borderId="11" xfId="6" applyFont="1" applyFill="1" applyBorder="1" applyAlignment="1">
      <alignment horizontal="center" vertical="center" wrapText="1"/>
    </xf>
    <xf numFmtId="0" fontId="27" fillId="0" borderId="0" xfId="6" applyFont="1" applyBorder="1" applyAlignment="1">
      <alignment horizontal="center" vertical="center"/>
    </xf>
    <xf numFmtId="0" fontId="34" fillId="3" borderId="11" xfId="6" applyFont="1" applyFill="1" applyBorder="1" applyAlignment="1">
      <alignment horizontal="center" vertical="center"/>
    </xf>
    <xf numFmtId="0" fontId="34" fillId="4" borderId="11" xfId="6" applyFont="1" applyFill="1" applyBorder="1" applyAlignment="1">
      <alignment horizontal="center" vertical="center"/>
    </xf>
    <xf numFmtId="0" fontId="34" fillId="5" borderId="11" xfId="6" applyFont="1" applyFill="1" applyBorder="1" applyAlignment="1">
      <alignment horizontal="center" vertical="center"/>
    </xf>
    <xf numFmtId="1" fontId="2" fillId="0" borderId="0" xfId="0" applyNumberFormat="1" applyFont="1" applyBorder="1" applyAlignment="1">
      <alignment vertical="center"/>
    </xf>
    <xf numFmtId="165" fontId="49" fillId="0" borderId="18" xfId="2" applyNumberFormat="1" applyFont="1" applyFill="1" applyBorder="1" applyAlignment="1">
      <alignment horizontal="center" vertical="center" wrapText="1"/>
    </xf>
    <xf numFmtId="0" fontId="49" fillId="0" borderId="27" xfId="0" applyFont="1" applyFill="1" applyBorder="1" applyAlignment="1">
      <alignment horizontal="center" vertical="center" wrapText="1"/>
    </xf>
    <xf numFmtId="0" fontId="49" fillId="0" borderId="3" xfId="0" applyFont="1" applyFill="1" applyBorder="1" applyAlignment="1">
      <alignment horizontal="center" vertical="center" wrapText="1"/>
    </xf>
    <xf numFmtId="165" fontId="2" fillId="0" borderId="18" xfId="2" applyNumberFormat="1" applyFont="1" applyFill="1" applyBorder="1" applyAlignment="1">
      <alignment horizontal="center" vertical="center" wrapText="1"/>
    </xf>
  </cellXfs>
  <cellStyles count="21">
    <cellStyle name="Comma" xfId="1" builtinId="3"/>
    <cellStyle name="Comma 2" xfId="12"/>
    <cellStyle name="Comma 2 2" xfId="15"/>
    <cellStyle name="Comma 3" xfId="5"/>
    <cellStyle name="Excel_BuiltIn_Comma" xfId="2"/>
    <cellStyle name="Excel_BuiltIn_Comma 1 3" xfId="11"/>
    <cellStyle name="Normal" xfId="0" builtinId="0"/>
    <cellStyle name="Normal 2" xfId="6"/>
    <cellStyle name="Normal 2 2" xfId="17"/>
    <cellStyle name="Normal 2 3" xfId="16"/>
    <cellStyle name="Normal 3" xfId="13"/>
    <cellStyle name="Normal 3 2" xfId="19"/>
    <cellStyle name="Normal 3 3" xfId="18"/>
    <cellStyle name="Normal 4" xfId="4"/>
    <cellStyle name="Normal 5" xfId="20"/>
    <cellStyle name="Normal 6" xfId="14"/>
    <cellStyle name="Style 1_CTY TNHH_DIA_OC_HOA_BINH" xfId="3"/>
    <cellStyle name="Style 1_CTY TNHH_DIA_OC_HOA_BINH 3" xfId="7"/>
    <cellStyle name="Untitled1" xfId="8"/>
    <cellStyle name="Untitled2" xfId="9"/>
    <cellStyle name="Untitled3" xfId="1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18745</xdr:rowOff>
    </xdr:from>
    <xdr:ext cx="1475292" cy="655899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18745"/>
          <a:ext cx="1475292" cy="655899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38101</xdr:rowOff>
    </xdr:from>
    <xdr:to>
      <xdr:col>1</xdr:col>
      <xdr:colOff>720437</xdr:colOff>
      <xdr:row>2</xdr:row>
      <xdr:rowOff>171451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38101"/>
          <a:ext cx="987137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IS235"/>
  <sheetViews>
    <sheetView tabSelected="1" workbookViewId="0">
      <selection activeCell="M117" sqref="M117"/>
    </sheetView>
  </sheetViews>
  <sheetFormatPr defaultRowHeight="15"/>
  <cols>
    <col min="1" max="1" width="5.140625" style="1" customWidth="1"/>
    <col min="2" max="2" width="5.5703125" style="2" customWidth="1"/>
    <col min="3" max="3" width="2.42578125" style="2" customWidth="1"/>
    <col min="4" max="4" width="2.5703125" style="2" customWidth="1"/>
    <col min="5" max="5" width="8.7109375" style="2" customWidth="1"/>
    <col min="6" max="6" width="4.28515625" style="2" customWidth="1"/>
    <col min="7" max="7" width="2.42578125" style="2" customWidth="1"/>
    <col min="8" max="8" width="4.5703125" style="2" customWidth="1"/>
    <col min="9" max="9" width="4.140625" style="2" customWidth="1"/>
    <col min="10" max="10" width="7.85546875" style="1" customWidth="1"/>
    <col min="11" max="11" width="8" style="2" customWidth="1"/>
    <col min="12" max="12" width="18.28515625" style="60" customWidth="1"/>
    <col min="13" max="13" width="13" style="61" customWidth="1"/>
    <col min="14" max="14" width="15.85546875" style="61" customWidth="1"/>
    <col min="15" max="15" width="17" style="61" customWidth="1"/>
    <col min="16" max="16" width="9.7109375" style="6" customWidth="1"/>
    <col min="17" max="252" width="9.7109375" style="2" customWidth="1"/>
    <col min="253" max="1024" width="9.7109375" customWidth="1"/>
    <col min="1025" max="1025" width="10.28515625" customWidth="1"/>
  </cols>
  <sheetData>
    <row r="1" spans="1:252" ht="19.5">
      <c r="F1" s="3" t="s">
        <v>0</v>
      </c>
      <c r="G1" s="4"/>
      <c r="H1" s="4"/>
      <c r="J1" s="5"/>
      <c r="K1" s="4"/>
      <c r="L1" s="58"/>
      <c r="M1" s="59"/>
      <c r="N1" s="59"/>
      <c r="O1" s="59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</row>
    <row r="2" spans="1:252">
      <c r="F2" s="7" t="s">
        <v>1</v>
      </c>
      <c r="G2" s="8"/>
      <c r="H2" s="8"/>
      <c r="J2" s="9"/>
      <c r="K2" s="8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</row>
    <row r="3" spans="1:252">
      <c r="F3" s="8" t="s">
        <v>2</v>
      </c>
      <c r="H3" s="2" t="s">
        <v>3</v>
      </c>
      <c r="K3" s="125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</row>
    <row r="4" spans="1:252">
      <c r="K4" s="125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</row>
    <row r="5" spans="1:252">
      <c r="K5" s="12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</row>
    <row r="6" spans="1:252" ht="18">
      <c r="I6" s="10" t="s">
        <v>4</v>
      </c>
      <c r="K6" s="125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</row>
    <row r="7" spans="1:252" ht="18.75">
      <c r="I7" s="11" t="s">
        <v>5</v>
      </c>
      <c r="K7" s="125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</row>
    <row r="8" spans="1:252">
      <c r="D8" s="12"/>
      <c r="E8" s="12"/>
      <c r="F8" s="12"/>
      <c r="G8" s="12"/>
      <c r="H8" s="12"/>
      <c r="I8" s="12"/>
      <c r="K8" s="125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</row>
    <row r="9" spans="1:252" ht="15.75">
      <c r="A9" s="207" t="s">
        <v>6</v>
      </c>
      <c r="B9" s="207"/>
      <c r="E9" s="13" t="s">
        <v>238</v>
      </c>
      <c r="J9" s="14"/>
      <c r="K9" s="125"/>
      <c r="M9" s="14" t="s">
        <v>7</v>
      </c>
      <c r="N9" s="59" t="s">
        <v>8</v>
      </c>
      <c r="O9" s="14"/>
      <c r="P9" s="62"/>
      <c r="Q9" s="15"/>
      <c r="R9" s="60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</row>
    <row r="10" spans="1:252" s="2" customFormat="1" ht="12.75">
      <c r="A10" s="1"/>
      <c r="B10" s="16"/>
      <c r="C10" s="17" t="s">
        <v>9</v>
      </c>
      <c r="D10" s="208" t="s">
        <v>10</v>
      </c>
      <c r="E10" s="208"/>
      <c r="F10" s="208"/>
      <c r="G10" s="208"/>
      <c r="H10" s="208"/>
      <c r="I10" s="208"/>
      <c r="J10" s="18"/>
      <c r="K10" s="19"/>
      <c r="M10" s="2" t="s">
        <v>11</v>
      </c>
      <c r="N10" s="61"/>
      <c r="O10" s="63"/>
      <c r="Q10" s="6"/>
    </row>
    <row r="11" spans="1:252" ht="15.75">
      <c r="A11" s="207" t="s">
        <v>12</v>
      </c>
      <c r="B11" s="207"/>
      <c r="C11" s="17" t="s">
        <v>9</v>
      </c>
      <c r="D11" s="13" t="s">
        <v>239</v>
      </c>
      <c r="E11" s="20"/>
      <c r="F11" s="20"/>
      <c r="G11" s="20"/>
      <c r="I11" s="20" t="s">
        <v>226</v>
      </c>
      <c r="J11" s="20"/>
      <c r="K11" s="125"/>
      <c r="M11" s="2" t="s">
        <v>13</v>
      </c>
      <c r="N11"/>
      <c r="O11" s="63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</row>
    <row r="12" spans="1:252">
      <c r="A12" s="209" t="s">
        <v>14</v>
      </c>
      <c r="B12" s="209"/>
      <c r="C12" s="17" t="s">
        <v>9</v>
      </c>
      <c r="D12" s="19"/>
      <c r="E12" s="19"/>
      <c r="F12" s="19"/>
      <c r="G12" s="19"/>
      <c r="H12" s="19"/>
      <c r="I12" s="19"/>
      <c r="J12" s="19"/>
      <c r="K12" s="20"/>
      <c r="L12" s="2"/>
      <c r="M12" s="213" t="s">
        <v>15</v>
      </c>
      <c r="N12" s="213"/>
      <c r="O12" s="213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</row>
    <row r="13" spans="1:252" ht="16.5">
      <c r="A13" s="21"/>
      <c r="B13" s="22"/>
      <c r="C13" s="17"/>
      <c r="D13" s="19"/>
      <c r="E13" s="19"/>
      <c r="F13" s="19"/>
      <c r="G13" s="19"/>
      <c r="H13" s="19"/>
      <c r="I13" s="19"/>
      <c r="J13" s="19"/>
      <c r="K13" s="20"/>
      <c r="L13" s="64"/>
      <c r="M13" s="65"/>
      <c r="N13" s="65"/>
      <c r="O13" s="65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</row>
    <row r="14" spans="1:252" s="124" customFormat="1" ht="38.25">
      <c r="A14" s="187" t="s">
        <v>229</v>
      </c>
      <c r="B14" s="254" t="s">
        <v>228</v>
      </c>
      <c r="C14" s="254"/>
      <c r="D14" s="254"/>
      <c r="E14" s="254"/>
      <c r="F14" s="254"/>
      <c r="G14" s="254"/>
      <c r="H14" s="254"/>
      <c r="I14" s="254"/>
      <c r="J14" s="184" t="s">
        <v>16</v>
      </c>
      <c r="K14" s="184" t="s">
        <v>17</v>
      </c>
      <c r="L14" s="252" t="s">
        <v>230</v>
      </c>
      <c r="M14" s="255" t="s">
        <v>18</v>
      </c>
      <c r="N14" s="255" t="s">
        <v>19</v>
      </c>
      <c r="O14" s="255" t="s">
        <v>20</v>
      </c>
      <c r="P14" s="171"/>
      <c r="Q14" s="125"/>
      <c r="R14" s="125"/>
    </row>
    <row r="15" spans="1:252" s="124" customFormat="1" ht="19.5" customHeight="1">
      <c r="A15" s="187">
        <v>1</v>
      </c>
      <c r="B15" s="210" t="s">
        <v>251</v>
      </c>
      <c r="C15" s="211"/>
      <c r="D15" s="211"/>
      <c r="E15" s="211"/>
      <c r="F15" s="211"/>
      <c r="G15" s="211"/>
      <c r="H15" s="211"/>
      <c r="I15" s="212"/>
      <c r="J15" s="184" t="s">
        <v>252</v>
      </c>
      <c r="K15" s="185">
        <v>60</v>
      </c>
      <c r="L15" s="252">
        <v>38500</v>
      </c>
      <c r="M15" s="170">
        <f>L15*K15</f>
        <v>2310000</v>
      </c>
      <c r="N15" s="170">
        <f>M15*0.1</f>
        <v>231000</v>
      </c>
      <c r="O15" s="170">
        <f>N15+M15</f>
        <v>2541000</v>
      </c>
      <c r="P15" s="251"/>
      <c r="Q15" s="125"/>
      <c r="R15" s="125"/>
    </row>
    <row r="16" spans="1:252" s="124" customFormat="1" ht="19.5" customHeight="1">
      <c r="A16" s="187">
        <v>2</v>
      </c>
      <c r="B16" s="210" t="s">
        <v>153</v>
      </c>
      <c r="C16" s="211" t="s">
        <v>153</v>
      </c>
      <c r="D16" s="211" t="s">
        <v>153</v>
      </c>
      <c r="E16" s="211" t="s">
        <v>153</v>
      </c>
      <c r="F16" s="211" t="s">
        <v>153</v>
      </c>
      <c r="G16" s="211" t="s">
        <v>153</v>
      </c>
      <c r="H16" s="211" t="s">
        <v>153</v>
      </c>
      <c r="I16" s="212" t="s">
        <v>153</v>
      </c>
      <c r="J16" s="184" t="s">
        <v>21</v>
      </c>
      <c r="K16" s="185">
        <v>9</v>
      </c>
      <c r="L16" s="186">
        <v>1800</v>
      </c>
      <c r="M16" s="126">
        <f>L16*K16</f>
        <v>16200</v>
      </c>
      <c r="N16" s="126">
        <f>M16*10%</f>
        <v>1620</v>
      </c>
      <c r="O16" s="126">
        <f>M16+N16</f>
        <v>17820</v>
      </c>
      <c r="P16" s="130"/>
    </row>
    <row r="17" spans="1:18" s="124" customFormat="1" ht="19.5" customHeight="1">
      <c r="A17" s="187">
        <v>3</v>
      </c>
      <c r="B17" s="210" t="s">
        <v>50</v>
      </c>
      <c r="C17" s="211" t="s">
        <v>50</v>
      </c>
      <c r="D17" s="211" t="s">
        <v>50</v>
      </c>
      <c r="E17" s="211" t="s">
        <v>50</v>
      </c>
      <c r="F17" s="211" t="s">
        <v>50</v>
      </c>
      <c r="G17" s="211" t="s">
        <v>50</v>
      </c>
      <c r="H17" s="211" t="s">
        <v>50</v>
      </c>
      <c r="I17" s="212" t="s">
        <v>50</v>
      </c>
      <c r="J17" s="184" t="s">
        <v>51</v>
      </c>
      <c r="K17" s="185">
        <v>10</v>
      </c>
      <c r="L17" s="186">
        <v>1200</v>
      </c>
      <c r="M17" s="126">
        <f t="shared" ref="M17:M80" si="0">L17*K17</f>
        <v>12000</v>
      </c>
      <c r="N17" s="126">
        <f t="shared" ref="N17:N80" si="1">M17*10%</f>
        <v>1200</v>
      </c>
      <c r="O17" s="126">
        <f t="shared" ref="O17:O80" si="2">M17+N17</f>
        <v>13200</v>
      </c>
      <c r="P17" s="130"/>
    </row>
    <row r="18" spans="1:18" s="124" customFormat="1" ht="19.5" customHeight="1">
      <c r="A18" s="187">
        <v>4</v>
      </c>
      <c r="B18" s="210" t="s">
        <v>156</v>
      </c>
      <c r="C18" s="211" t="s">
        <v>156</v>
      </c>
      <c r="D18" s="211" t="s">
        <v>156</v>
      </c>
      <c r="E18" s="211" t="s">
        <v>156</v>
      </c>
      <c r="F18" s="211" t="s">
        <v>156</v>
      </c>
      <c r="G18" s="211" t="s">
        <v>156</v>
      </c>
      <c r="H18" s="211" t="s">
        <v>156</v>
      </c>
      <c r="I18" s="212" t="s">
        <v>156</v>
      </c>
      <c r="J18" s="184" t="s">
        <v>46</v>
      </c>
      <c r="K18" s="185">
        <v>100</v>
      </c>
      <c r="L18" s="186">
        <v>1170</v>
      </c>
      <c r="M18" s="126">
        <f t="shared" si="0"/>
        <v>117000</v>
      </c>
      <c r="N18" s="126">
        <f t="shared" si="1"/>
        <v>11700</v>
      </c>
      <c r="O18" s="126">
        <f t="shared" si="2"/>
        <v>128700</v>
      </c>
      <c r="P18" s="130"/>
    </row>
    <row r="19" spans="1:18" s="124" customFormat="1" ht="19.5" customHeight="1">
      <c r="A19" s="187">
        <v>5</v>
      </c>
      <c r="B19" s="210" t="s">
        <v>165</v>
      </c>
      <c r="C19" s="211" t="s">
        <v>165</v>
      </c>
      <c r="D19" s="211" t="s">
        <v>165</v>
      </c>
      <c r="E19" s="211" t="s">
        <v>165</v>
      </c>
      <c r="F19" s="211" t="s">
        <v>165</v>
      </c>
      <c r="G19" s="211" t="s">
        <v>165</v>
      </c>
      <c r="H19" s="211" t="s">
        <v>165</v>
      </c>
      <c r="I19" s="212" t="s">
        <v>165</v>
      </c>
      <c r="J19" s="184" t="s">
        <v>60</v>
      </c>
      <c r="K19" s="185">
        <v>2</v>
      </c>
      <c r="L19" s="186">
        <v>3500</v>
      </c>
      <c r="M19" s="126">
        <f t="shared" si="0"/>
        <v>7000</v>
      </c>
      <c r="N19" s="126">
        <f t="shared" si="1"/>
        <v>700</v>
      </c>
      <c r="O19" s="126">
        <f t="shared" si="2"/>
        <v>7700</v>
      </c>
      <c r="P19" s="130"/>
    </row>
    <row r="20" spans="1:18" s="124" customFormat="1" ht="19.5" customHeight="1">
      <c r="A20" s="187">
        <v>6</v>
      </c>
      <c r="B20" s="210" t="s">
        <v>166</v>
      </c>
      <c r="C20" s="211" t="s">
        <v>166</v>
      </c>
      <c r="D20" s="211" t="s">
        <v>166</v>
      </c>
      <c r="E20" s="211" t="s">
        <v>166</v>
      </c>
      <c r="F20" s="211" t="s">
        <v>166</v>
      </c>
      <c r="G20" s="211" t="s">
        <v>166</v>
      </c>
      <c r="H20" s="211" t="s">
        <v>166</v>
      </c>
      <c r="I20" s="212" t="s">
        <v>166</v>
      </c>
      <c r="J20" s="184" t="s">
        <v>57</v>
      </c>
      <c r="K20" s="185">
        <v>6</v>
      </c>
      <c r="L20" s="186">
        <v>4500</v>
      </c>
      <c r="M20" s="126">
        <f t="shared" si="0"/>
        <v>27000</v>
      </c>
      <c r="N20" s="126">
        <f t="shared" si="1"/>
        <v>2700</v>
      </c>
      <c r="O20" s="126">
        <f t="shared" si="2"/>
        <v>29700</v>
      </c>
      <c r="P20" s="130"/>
    </row>
    <row r="21" spans="1:18" s="124" customFormat="1" ht="19.5" customHeight="1">
      <c r="A21" s="187">
        <v>7</v>
      </c>
      <c r="B21" s="210" t="s">
        <v>167</v>
      </c>
      <c r="C21" s="211" t="s">
        <v>167</v>
      </c>
      <c r="D21" s="211" t="s">
        <v>167</v>
      </c>
      <c r="E21" s="211" t="s">
        <v>167</v>
      </c>
      <c r="F21" s="211" t="s">
        <v>167</v>
      </c>
      <c r="G21" s="211" t="s">
        <v>167</v>
      </c>
      <c r="H21" s="211" t="s">
        <v>167</v>
      </c>
      <c r="I21" s="212" t="s">
        <v>167</v>
      </c>
      <c r="J21" s="184" t="s">
        <v>57</v>
      </c>
      <c r="K21" s="185">
        <v>5</v>
      </c>
      <c r="L21" s="186">
        <v>9500</v>
      </c>
      <c r="M21" s="126">
        <f t="shared" si="0"/>
        <v>47500</v>
      </c>
      <c r="N21" s="126">
        <f t="shared" si="1"/>
        <v>4750</v>
      </c>
      <c r="O21" s="126">
        <f t="shared" si="2"/>
        <v>52250</v>
      </c>
      <c r="P21" s="130"/>
    </row>
    <row r="22" spans="1:18" s="124" customFormat="1" ht="19.5" customHeight="1">
      <c r="A22" s="187">
        <v>8</v>
      </c>
      <c r="B22" s="210" t="s">
        <v>64</v>
      </c>
      <c r="C22" s="211" t="s">
        <v>64</v>
      </c>
      <c r="D22" s="211" t="s">
        <v>64</v>
      </c>
      <c r="E22" s="211" t="s">
        <v>64</v>
      </c>
      <c r="F22" s="211" t="s">
        <v>64</v>
      </c>
      <c r="G22" s="211" t="s">
        <v>64</v>
      </c>
      <c r="H22" s="211" t="s">
        <v>64</v>
      </c>
      <c r="I22" s="212" t="s">
        <v>64</v>
      </c>
      <c r="J22" s="184" t="s">
        <v>51</v>
      </c>
      <c r="K22" s="185">
        <v>5</v>
      </c>
      <c r="L22" s="186">
        <v>3000</v>
      </c>
      <c r="M22" s="126">
        <f t="shared" si="0"/>
        <v>15000</v>
      </c>
      <c r="N22" s="126">
        <f t="shared" si="1"/>
        <v>1500</v>
      </c>
      <c r="O22" s="126">
        <f t="shared" si="2"/>
        <v>16500</v>
      </c>
      <c r="P22" s="130"/>
    </row>
    <row r="23" spans="1:18" s="124" customFormat="1" ht="19.5" customHeight="1">
      <c r="A23" s="187">
        <v>9</v>
      </c>
      <c r="B23" s="210" t="s">
        <v>175</v>
      </c>
      <c r="C23" s="211" t="s">
        <v>175</v>
      </c>
      <c r="D23" s="211" t="s">
        <v>175</v>
      </c>
      <c r="E23" s="211" t="s">
        <v>175</v>
      </c>
      <c r="F23" s="211" t="s">
        <v>175</v>
      </c>
      <c r="G23" s="211" t="s">
        <v>175</v>
      </c>
      <c r="H23" s="211" t="s">
        <v>175</v>
      </c>
      <c r="I23" s="212" t="s">
        <v>175</v>
      </c>
      <c r="J23" s="184" t="s">
        <v>70</v>
      </c>
      <c r="K23" s="185">
        <v>80</v>
      </c>
      <c r="L23" s="186">
        <v>2400</v>
      </c>
      <c r="M23" s="126">
        <f t="shared" si="0"/>
        <v>192000</v>
      </c>
      <c r="N23" s="126">
        <f t="shared" si="1"/>
        <v>19200</v>
      </c>
      <c r="O23" s="126">
        <f t="shared" si="2"/>
        <v>211200</v>
      </c>
      <c r="P23" s="130"/>
    </row>
    <row r="24" spans="1:18" s="124" customFormat="1" ht="19.5" customHeight="1">
      <c r="A24" s="187">
        <v>10</v>
      </c>
      <c r="B24" s="210" t="s">
        <v>176</v>
      </c>
      <c r="C24" s="211" t="s">
        <v>176</v>
      </c>
      <c r="D24" s="211" t="s">
        <v>176</v>
      </c>
      <c r="E24" s="211" t="s">
        <v>176</v>
      </c>
      <c r="F24" s="211" t="s">
        <v>176</v>
      </c>
      <c r="G24" s="211" t="s">
        <v>176</v>
      </c>
      <c r="H24" s="211" t="s">
        <v>176</v>
      </c>
      <c r="I24" s="212" t="s">
        <v>176</v>
      </c>
      <c r="J24" s="184" t="s">
        <v>70</v>
      </c>
      <c r="K24" s="185">
        <v>5</v>
      </c>
      <c r="L24" s="186">
        <v>4800</v>
      </c>
      <c r="M24" s="126">
        <f t="shared" si="0"/>
        <v>24000</v>
      </c>
      <c r="N24" s="126">
        <f t="shared" si="1"/>
        <v>2400</v>
      </c>
      <c r="O24" s="126">
        <f t="shared" si="2"/>
        <v>26400</v>
      </c>
      <c r="P24" s="130"/>
    </row>
    <row r="25" spans="1:18" s="124" customFormat="1" ht="19.5" customHeight="1">
      <c r="A25" s="187">
        <v>11</v>
      </c>
      <c r="B25" s="206" t="s">
        <v>178</v>
      </c>
      <c r="C25" s="206" t="s">
        <v>178</v>
      </c>
      <c r="D25" s="206" t="s">
        <v>178</v>
      </c>
      <c r="E25" s="206" t="s">
        <v>178</v>
      </c>
      <c r="F25" s="206" t="s">
        <v>178</v>
      </c>
      <c r="G25" s="206" t="s">
        <v>178</v>
      </c>
      <c r="H25" s="206" t="s">
        <v>178</v>
      </c>
      <c r="I25" s="206" t="s">
        <v>178</v>
      </c>
      <c r="J25" s="184" t="s">
        <v>70</v>
      </c>
      <c r="K25" s="185">
        <v>3</v>
      </c>
      <c r="L25" s="186">
        <v>32000</v>
      </c>
      <c r="M25" s="126">
        <f t="shared" si="0"/>
        <v>96000</v>
      </c>
      <c r="N25" s="126">
        <f t="shared" si="1"/>
        <v>9600</v>
      </c>
      <c r="O25" s="126">
        <f t="shared" si="2"/>
        <v>105600</v>
      </c>
      <c r="P25" s="130"/>
    </row>
    <row r="26" spans="1:18" s="124" customFormat="1" ht="19.5" customHeight="1">
      <c r="A26" s="187">
        <v>12</v>
      </c>
      <c r="B26" s="206" t="s">
        <v>179</v>
      </c>
      <c r="C26" s="206" t="s">
        <v>179</v>
      </c>
      <c r="D26" s="206" t="s">
        <v>179</v>
      </c>
      <c r="E26" s="206" t="s">
        <v>179</v>
      </c>
      <c r="F26" s="206" t="s">
        <v>179</v>
      </c>
      <c r="G26" s="206" t="s">
        <v>179</v>
      </c>
      <c r="H26" s="206" t="s">
        <v>179</v>
      </c>
      <c r="I26" s="206" t="s">
        <v>179</v>
      </c>
      <c r="J26" s="184" t="s">
        <v>72</v>
      </c>
      <c r="K26" s="185">
        <v>2</v>
      </c>
      <c r="L26" s="186">
        <v>32500</v>
      </c>
      <c r="M26" s="126">
        <f t="shared" si="0"/>
        <v>65000</v>
      </c>
      <c r="N26" s="126">
        <f t="shared" si="1"/>
        <v>6500</v>
      </c>
      <c r="O26" s="126">
        <f t="shared" si="2"/>
        <v>71500</v>
      </c>
      <c r="P26" s="130"/>
    </row>
    <row r="27" spans="1:18" s="124" customFormat="1" ht="19.5" customHeight="1">
      <c r="A27" s="187">
        <v>13</v>
      </c>
      <c r="B27" s="206" t="s">
        <v>181</v>
      </c>
      <c r="C27" s="206" t="s">
        <v>181</v>
      </c>
      <c r="D27" s="206" t="s">
        <v>181</v>
      </c>
      <c r="E27" s="206" t="s">
        <v>181</v>
      </c>
      <c r="F27" s="206" t="s">
        <v>181</v>
      </c>
      <c r="G27" s="206" t="s">
        <v>181</v>
      </c>
      <c r="H27" s="206" t="s">
        <v>181</v>
      </c>
      <c r="I27" s="206" t="s">
        <v>181</v>
      </c>
      <c r="J27" s="184" t="s">
        <v>70</v>
      </c>
      <c r="K27" s="185">
        <v>2</v>
      </c>
      <c r="L27" s="186">
        <v>4000</v>
      </c>
      <c r="M27" s="126">
        <f t="shared" si="0"/>
        <v>8000</v>
      </c>
      <c r="N27" s="126">
        <f t="shared" si="1"/>
        <v>800</v>
      </c>
      <c r="O27" s="126">
        <f t="shared" si="2"/>
        <v>8800</v>
      </c>
      <c r="P27" s="130"/>
    </row>
    <row r="28" spans="1:18" s="124" customFormat="1" ht="19.5" customHeight="1">
      <c r="A28" s="187">
        <v>14</v>
      </c>
      <c r="B28" s="206" t="s">
        <v>223</v>
      </c>
      <c r="C28" s="206" t="s">
        <v>223</v>
      </c>
      <c r="D28" s="206" t="s">
        <v>223</v>
      </c>
      <c r="E28" s="206" t="s">
        <v>223</v>
      </c>
      <c r="F28" s="206" t="s">
        <v>223</v>
      </c>
      <c r="G28" s="206" t="s">
        <v>223</v>
      </c>
      <c r="H28" s="206" t="s">
        <v>223</v>
      </c>
      <c r="I28" s="206" t="s">
        <v>223</v>
      </c>
      <c r="J28" s="184" t="s">
        <v>81</v>
      </c>
      <c r="K28" s="185">
        <v>2</v>
      </c>
      <c r="L28" s="186">
        <v>38000</v>
      </c>
      <c r="M28" s="126">
        <f t="shared" si="0"/>
        <v>76000</v>
      </c>
      <c r="N28" s="126">
        <f t="shared" si="1"/>
        <v>7600</v>
      </c>
      <c r="O28" s="126">
        <f t="shared" si="2"/>
        <v>83600</v>
      </c>
      <c r="P28" s="130"/>
    </row>
    <row r="29" spans="1:18" s="124" customFormat="1" ht="19.5" customHeight="1">
      <c r="A29" s="187">
        <v>15</v>
      </c>
      <c r="B29" s="206" t="s">
        <v>214</v>
      </c>
      <c r="C29" s="206" t="s">
        <v>214</v>
      </c>
      <c r="D29" s="206" t="s">
        <v>214</v>
      </c>
      <c r="E29" s="206" t="s">
        <v>214</v>
      </c>
      <c r="F29" s="206" t="s">
        <v>214</v>
      </c>
      <c r="G29" s="206" t="s">
        <v>214</v>
      </c>
      <c r="H29" s="206" t="s">
        <v>214</v>
      </c>
      <c r="I29" s="206" t="s">
        <v>214</v>
      </c>
      <c r="J29" s="184" t="s">
        <v>83</v>
      </c>
      <c r="K29" s="185">
        <v>2</v>
      </c>
      <c r="L29" s="186">
        <v>8000</v>
      </c>
      <c r="M29" s="126">
        <f t="shared" si="0"/>
        <v>16000</v>
      </c>
      <c r="N29" s="126">
        <f t="shared" si="1"/>
        <v>1600</v>
      </c>
      <c r="O29" s="126">
        <f t="shared" si="2"/>
        <v>17600</v>
      </c>
      <c r="P29" s="130"/>
    </row>
    <row r="30" spans="1:18" s="124" customFormat="1" ht="19.5" customHeight="1">
      <c r="A30" s="187">
        <v>16</v>
      </c>
      <c r="B30" s="206" t="s">
        <v>184</v>
      </c>
      <c r="C30" s="206" t="s">
        <v>184</v>
      </c>
      <c r="D30" s="206" t="s">
        <v>184</v>
      </c>
      <c r="E30" s="206" t="s">
        <v>184</v>
      </c>
      <c r="F30" s="206" t="s">
        <v>184</v>
      </c>
      <c r="G30" s="206" t="s">
        <v>184</v>
      </c>
      <c r="H30" s="206" t="s">
        <v>184</v>
      </c>
      <c r="I30" s="206" t="s">
        <v>184</v>
      </c>
      <c r="J30" s="184" t="s">
        <v>57</v>
      </c>
      <c r="K30" s="185">
        <v>3</v>
      </c>
      <c r="L30" s="186">
        <v>22000</v>
      </c>
      <c r="M30" s="126">
        <f t="shared" si="0"/>
        <v>66000</v>
      </c>
      <c r="N30" s="126">
        <f t="shared" si="1"/>
        <v>6600</v>
      </c>
      <c r="O30" s="126">
        <f t="shared" si="2"/>
        <v>72600</v>
      </c>
      <c r="P30" s="130"/>
      <c r="Q30" s="125"/>
      <c r="R30" s="125"/>
    </row>
    <row r="31" spans="1:18" s="124" customFormat="1" ht="19.5" customHeight="1">
      <c r="A31" s="187">
        <v>17</v>
      </c>
      <c r="B31" s="206" t="s">
        <v>193</v>
      </c>
      <c r="C31" s="206" t="s">
        <v>193</v>
      </c>
      <c r="D31" s="206" t="s">
        <v>193</v>
      </c>
      <c r="E31" s="206" t="s">
        <v>193</v>
      </c>
      <c r="F31" s="206" t="s">
        <v>193</v>
      </c>
      <c r="G31" s="206" t="s">
        <v>193</v>
      </c>
      <c r="H31" s="206" t="s">
        <v>193</v>
      </c>
      <c r="I31" s="206" t="s">
        <v>193</v>
      </c>
      <c r="J31" s="184" t="s">
        <v>57</v>
      </c>
      <c r="K31" s="185">
        <v>10</v>
      </c>
      <c r="L31" s="186">
        <v>4200</v>
      </c>
      <c r="M31" s="126">
        <f t="shared" si="0"/>
        <v>42000</v>
      </c>
      <c r="N31" s="126">
        <f t="shared" si="1"/>
        <v>4200</v>
      </c>
      <c r="O31" s="126">
        <f t="shared" si="2"/>
        <v>46200</v>
      </c>
      <c r="P31" s="130"/>
      <c r="Q31" s="125"/>
      <c r="R31" s="125"/>
    </row>
    <row r="32" spans="1:18" s="124" customFormat="1" ht="19.5" customHeight="1">
      <c r="A32" s="187">
        <v>18</v>
      </c>
      <c r="B32" s="206" t="s">
        <v>207</v>
      </c>
      <c r="C32" s="206" t="s">
        <v>207</v>
      </c>
      <c r="D32" s="206" t="s">
        <v>207</v>
      </c>
      <c r="E32" s="206" t="s">
        <v>207</v>
      </c>
      <c r="F32" s="206" t="s">
        <v>207</v>
      </c>
      <c r="G32" s="206" t="s">
        <v>207</v>
      </c>
      <c r="H32" s="206" t="s">
        <v>207</v>
      </c>
      <c r="I32" s="206" t="s">
        <v>207</v>
      </c>
      <c r="J32" s="184" t="s">
        <v>51</v>
      </c>
      <c r="K32" s="185">
        <v>10</v>
      </c>
      <c r="L32" s="186">
        <v>4700</v>
      </c>
      <c r="M32" s="126">
        <f t="shared" si="0"/>
        <v>47000</v>
      </c>
      <c r="N32" s="126">
        <f t="shared" si="1"/>
        <v>4700</v>
      </c>
      <c r="O32" s="126">
        <f t="shared" si="2"/>
        <v>51700</v>
      </c>
      <c r="P32" s="130"/>
      <c r="Q32" s="125"/>
      <c r="R32" s="125"/>
    </row>
    <row r="33" spans="1:18" s="124" customFormat="1" ht="19.5" customHeight="1">
      <c r="A33" s="187">
        <v>19</v>
      </c>
      <c r="B33" s="206" t="s">
        <v>235</v>
      </c>
      <c r="C33" s="206" t="s">
        <v>235</v>
      </c>
      <c r="D33" s="206" t="s">
        <v>235</v>
      </c>
      <c r="E33" s="206" t="s">
        <v>235</v>
      </c>
      <c r="F33" s="206" t="s">
        <v>235</v>
      </c>
      <c r="G33" s="206" t="s">
        <v>235</v>
      </c>
      <c r="H33" s="206" t="s">
        <v>235</v>
      </c>
      <c r="I33" s="206" t="s">
        <v>235</v>
      </c>
      <c r="J33" s="184" t="s">
        <v>62</v>
      </c>
      <c r="K33" s="185">
        <v>2</v>
      </c>
      <c r="L33" s="186">
        <v>28500</v>
      </c>
      <c r="M33" s="126">
        <f t="shared" si="0"/>
        <v>57000</v>
      </c>
      <c r="N33" s="126">
        <f t="shared" si="1"/>
        <v>5700</v>
      </c>
      <c r="O33" s="126">
        <f t="shared" si="2"/>
        <v>62700</v>
      </c>
      <c r="P33" s="130"/>
      <c r="Q33" s="125"/>
      <c r="R33" s="125"/>
    </row>
    <row r="34" spans="1:18" s="124" customFormat="1" ht="19.5" customHeight="1">
      <c r="A34" s="187">
        <v>20</v>
      </c>
      <c r="B34" s="206" t="s">
        <v>249</v>
      </c>
      <c r="C34" s="206" t="s">
        <v>249</v>
      </c>
      <c r="D34" s="206" t="s">
        <v>249</v>
      </c>
      <c r="E34" s="206" t="s">
        <v>249</v>
      </c>
      <c r="F34" s="206" t="s">
        <v>249</v>
      </c>
      <c r="G34" s="206" t="s">
        <v>249</v>
      </c>
      <c r="H34" s="206" t="s">
        <v>249</v>
      </c>
      <c r="I34" s="206" t="s">
        <v>249</v>
      </c>
      <c r="J34" s="184" t="s">
        <v>45</v>
      </c>
      <c r="K34" s="185">
        <v>3</v>
      </c>
      <c r="L34" s="186">
        <v>6800</v>
      </c>
      <c r="M34" s="126">
        <f t="shared" si="0"/>
        <v>20400</v>
      </c>
      <c r="N34" s="126">
        <f t="shared" si="1"/>
        <v>2040</v>
      </c>
      <c r="O34" s="126">
        <f t="shared" si="2"/>
        <v>22440</v>
      </c>
      <c r="P34" s="130"/>
      <c r="Q34" s="125"/>
      <c r="R34" s="125"/>
    </row>
    <row r="35" spans="1:18" s="124" customFormat="1" ht="19.5" customHeight="1">
      <c r="A35" s="189">
        <v>21</v>
      </c>
      <c r="B35" s="212" t="s">
        <v>250</v>
      </c>
      <c r="C35" s="206" t="s">
        <v>250</v>
      </c>
      <c r="D35" s="206" t="s">
        <v>250</v>
      </c>
      <c r="E35" s="206" t="s">
        <v>250</v>
      </c>
      <c r="F35" s="206" t="s">
        <v>250</v>
      </c>
      <c r="G35" s="206" t="s">
        <v>250</v>
      </c>
      <c r="H35" s="206" t="s">
        <v>250</v>
      </c>
      <c r="I35" s="206" t="s">
        <v>250</v>
      </c>
      <c r="J35" s="184" t="s">
        <v>45</v>
      </c>
      <c r="K35" s="185">
        <v>3</v>
      </c>
      <c r="L35" s="186">
        <v>13800</v>
      </c>
      <c r="M35" s="126">
        <f t="shared" si="0"/>
        <v>41400</v>
      </c>
      <c r="N35" s="126">
        <f t="shared" si="1"/>
        <v>4140</v>
      </c>
      <c r="O35" s="126">
        <f t="shared" si="2"/>
        <v>45540</v>
      </c>
      <c r="P35" s="130"/>
      <c r="Q35" s="125"/>
      <c r="R35" s="125"/>
    </row>
    <row r="36" spans="1:18" s="124" customFormat="1" ht="19.5" hidden="1" customHeight="1">
      <c r="A36" s="253">
        <v>21</v>
      </c>
      <c r="B36" s="206"/>
      <c r="C36" s="206"/>
      <c r="D36" s="206"/>
      <c r="E36" s="206"/>
      <c r="F36" s="206"/>
      <c r="G36" s="206"/>
      <c r="H36" s="206"/>
      <c r="I36" s="206"/>
      <c r="J36" s="184"/>
      <c r="K36" s="185"/>
      <c r="L36" s="186"/>
      <c r="M36" s="126">
        <f t="shared" si="0"/>
        <v>0</v>
      </c>
      <c r="N36" s="126">
        <f t="shared" si="1"/>
        <v>0</v>
      </c>
      <c r="O36" s="126">
        <f t="shared" si="2"/>
        <v>0</v>
      </c>
      <c r="P36" s="130"/>
      <c r="Q36" s="125"/>
      <c r="R36" s="125"/>
    </row>
    <row r="37" spans="1:18" s="124" customFormat="1" ht="19.5" hidden="1" customHeight="1">
      <c r="A37" s="184">
        <v>22</v>
      </c>
      <c r="B37" s="206"/>
      <c r="C37" s="206"/>
      <c r="D37" s="206"/>
      <c r="E37" s="206"/>
      <c r="F37" s="206"/>
      <c r="G37" s="206"/>
      <c r="H37" s="206"/>
      <c r="I37" s="206"/>
      <c r="J37" s="184"/>
      <c r="K37" s="185"/>
      <c r="L37" s="186"/>
      <c r="M37" s="126">
        <f t="shared" si="0"/>
        <v>0</v>
      </c>
      <c r="N37" s="126">
        <f t="shared" si="1"/>
        <v>0</v>
      </c>
      <c r="O37" s="126">
        <f t="shared" si="2"/>
        <v>0</v>
      </c>
      <c r="P37" s="130"/>
      <c r="Q37" s="125"/>
      <c r="R37" s="125"/>
    </row>
    <row r="38" spans="1:18" s="124" customFormat="1" ht="19.5" hidden="1" customHeight="1">
      <c r="A38" s="184">
        <v>23</v>
      </c>
      <c r="B38" s="206"/>
      <c r="C38" s="206"/>
      <c r="D38" s="206"/>
      <c r="E38" s="206"/>
      <c r="F38" s="206"/>
      <c r="G38" s="206"/>
      <c r="H38" s="206"/>
      <c r="I38" s="206"/>
      <c r="J38" s="184"/>
      <c r="K38" s="185"/>
      <c r="L38" s="186"/>
      <c r="M38" s="126">
        <f t="shared" si="0"/>
        <v>0</v>
      </c>
      <c r="N38" s="126">
        <f t="shared" si="1"/>
        <v>0</v>
      </c>
      <c r="O38" s="126">
        <f t="shared" si="2"/>
        <v>0</v>
      </c>
      <c r="P38" s="130"/>
      <c r="Q38" s="125"/>
      <c r="R38" s="125"/>
    </row>
    <row r="39" spans="1:18" s="124" customFormat="1" ht="19.5" hidden="1" customHeight="1">
      <c r="A39" s="184">
        <v>24</v>
      </c>
      <c r="B39" s="206"/>
      <c r="C39" s="206"/>
      <c r="D39" s="206"/>
      <c r="E39" s="206"/>
      <c r="F39" s="206"/>
      <c r="G39" s="206"/>
      <c r="H39" s="206"/>
      <c r="I39" s="206"/>
      <c r="J39" s="184"/>
      <c r="K39" s="185"/>
      <c r="L39" s="186"/>
      <c r="M39" s="126">
        <f t="shared" si="0"/>
        <v>0</v>
      </c>
      <c r="N39" s="126">
        <f t="shared" si="1"/>
        <v>0</v>
      </c>
      <c r="O39" s="126">
        <f t="shared" si="2"/>
        <v>0</v>
      </c>
      <c r="P39" s="130"/>
      <c r="Q39" s="125"/>
      <c r="R39" s="125"/>
    </row>
    <row r="40" spans="1:18" s="124" customFormat="1" ht="19.5" hidden="1" customHeight="1">
      <c r="A40" s="184">
        <v>25</v>
      </c>
      <c r="B40" s="206"/>
      <c r="C40" s="206"/>
      <c r="D40" s="206"/>
      <c r="E40" s="206"/>
      <c r="F40" s="206"/>
      <c r="G40" s="206"/>
      <c r="H40" s="206"/>
      <c r="I40" s="206"/>
      <c r="J40" s="184"/>
      <c r="K40" s="185"/>
      <c r="L40" s="186"/>
      <c r="M40" s="126">
        <f t="shared" si="0"/>
        <v>0</v>
      </c>
      <c r="N40" s="126">
        <f t="shared" si="1"/>
        <v>0</v>
      </c>
      <c r="O40" s="126">
        <f t="shared" si="2"/>
        <v>0</v>
      </c>
      <c r="P40" s="130"/>
      <c r="Q40" s="125"/>
      <c r="R40" s="125"/>
    </row>
    <row r="41" spans="1:18" s="124" customFormat="1" ht="19.5" hidden="1" customHeight="1">
      <c r="A41" s="184">
        <v>26</v>
      </c>
      <c r="B41" s="206"/>
      <c r="C41" s="206"/>
      <c r="D41" s="206"/>
      <c r="E41" s="206"/>
      <c r="F41" s="206"/>
      <c r="G41" s="206"/>
      <c r="H41" s="206"/>
      <c r="I41" s="206"/>
      <c r="J41" s="184"/>
      <c r="K41" s="185"/>
      <c r="L41" s="186"/>
      <c r="M41" s="126">
        <f t="shared" si="0"/>
        <v>0</v>
      </c>
      <c r="N41" s="126">
        <f t="shared" si="1"/>
        <v>0</v>
      </c>
      <c r="O41" s="126">
        <f t="shared" si="2"/>
        <v>0</v>
      </c>
      <c r="P41" s="130"/>
      <c r="Q41" s="125"/>
      <c r="R41" s="125"/>
    </row>
    <row r="42" spans="1:18" s="124" customFormat="1" ht="19.5" hidden="1" customHeight="1">
      <c r="A42" s="184">
        <v>27</v>
      </c>
      <c r="B42" s="206"/>
      <c r="C42" s="206"/>
      <c r="D42" s="206"/>
      <c r="E42" s="206"/>
      <c r="F42" s="206"/>
      <c r="G42" s="206"/>
      <c r="H42" s="206"/>
      <c r="I42" s="206"/>
      <c r="J42" s="184"/>
      <c r="K42" s="185"/>
      <c r="L42" s="186"/>
      <c r="M42" s="126">
        <f t="shared" si="0"/>
        <v>0</v>
      </c>
      <c r="N42" s="126">
        <f t="shared" si="1"/>
        <v>0</v>
      </c>
      <c r="O42" s="126">
        <f t="shared" si="2"/>
        <v>0</v>
      </c>
      <c r="P42" s="130"/>
      <c r="Q42" s="125"/>
      <c r="R42" s="125"/>
    </row>
    <row r="43" spans="1:18" s="124" customFormat="1" ht="19.5" hidden="1" customHeight="1">
      <c r="A43" s="184">
        <v>28</v>
      </c>
      <c r="B43" s="206"/>
      <c r="C43" s="206"/>
      <c r="D43" s="206"/>
      <c r="E43" s="206"/>
      <c r="F43" s="206"/>
      <c r="G43" s="206"/>
      <c r="H43" s="206"/>
      <c r="I43" s="206"/>
      <c r="J43" s="184"/>
      <c r="K43" s="185"/>
      <c r="L43" s="186"/>
      <c r="M43" s="126">
        <f t="shared" si="0"/>
        <v>0</v>
      </c>
      <c r="N43" s="126">
        <f t="shared" si="1"/>
        <v>0</v>
      </c>
      <c r="O43" s="126">
        <f t="shared" si="2"/>
        <v>0</v>
      </c>
      <c r="P43" s="130"/>
      <c r="Q43" s="125"/>
      <c r="R43" s="125"/>
    </row>
    <row r="44" spans="1:18" s="124" customFormat="1" ht="19.5" hidden="1" customHeight="1">
      <c r="A44" s="184">
        <v>29</v>
      </c>
      <c r="B44" s="206"/>
      <c r="C44" s="206"/>
      <c r="D44" s="206"/>
      <c r="E44" s="206"/>
      <c r="F44" s="206"/>
      <c r="G44" s="206"/>
      <c r="H44" s="206"/>
      <c r="I44" s="206"/>
      <c r="J44" s="184"/>
      <c r="K44" s="185"/>
      <c r="L44" s="186"/>
      <c r="M44" s="126">
        <f t="shared" si="0"/>
        <v>0</v>
      </c>
      <c r="N44" s="126">
        <f t="shared" si="1"/>
        <v>0</v>
      </c>
      <c r="O44" s="126">
        <f t="shared" si="2"/>
        <v>0</v>
      </c>
      <c r="P44" s="130"/>
      <c r="Q44" s="125"/>
      <c r="R44" s="125"/>
    </row>
    <row r="45" spans="1:18" s="124" customFormat="1" ht="19.5" hidden="1" customHeight="1">
      <c r="A45" s="184">
        <v>30</v>
      </c>
      <c r="B45" s="206"/>
      <c r="C45" s="206"/>
      <c r="D45" s="206"/>
      <c r="E45" s="206"/>
      <c r="F45" s="206"/>
      <c r="G45" s="206"/>
      <c r="H45" s="206"/>
      <c r="I45" s="206"/>
      <c r="J45" s="184"/>
      <c r="K45" s="185"/>
      <c r="L45" s="186"/>
      <c r="M45" s="126">
        <f t="shared" si="0"/>
        <v>0</v>
      </c>
      <c r="N45" s="126">
        <f t="shared" si="1"/>
        <v>0</v>
      </c>
      <c r="O45" s="126">
        <f t="shared" si="2"/>
        <v>0</v>
      </c>
      <c r="P45" s="130"/>
      <c r="Q45" s="125"/>
      <c r="R45" s="125"/>
    </row>
    <row r="46" spans="1:18" s="124" customFormat="1" ht="19.5" hidden="1" customHeight="1">
      <c r="A46" s="184">
        <v>31</v>
      </c>
      <c r="B46" s="206"/>
      <c r="C46" s="206"/>
      <c r="D46" s="206"/>
      <c r="E46" s="206"/>
      <c r="F46" s="206"/>
      <c r="G46" s="206"/>
      <c r="H46" s="206"/>
      <c r="I46" s="206"/>
      <c r="J46" s="184"/>
      <c r="K46" s="185"/>
      <c r="L46" s="186"/>
      <c r="M46" s="126">
        <f t="shared" si="0"/>
        <v>0</v>
      </c>
      <c r="N46" s="126">
        <f t="shared" si="1"/>
        <v>0</v>
      </c>
      <c r="O46" s="126">
        <f t="shared" si="2"/>
        <v>0</v>
      </c>
      <c r="P46" s="130"/>
      <c r="Q46" s="125"/>
      <c r="R46" s="125"/>
    </row>
    <row r="47" spans="1:18" s="124" customFormat="1" ht="19.5" hidden="1" customHeight="1">
      <c r="A47" s="184">
        <v>32</v>
      </c>
      <c r="B47" s="206"/>
      <c r="C47" s="206"/>
      <c r="D47" s="206"/>
      <c r="E47" s="206"/>
      <c r="F47" s="206"/>
      <c r="G47" s="206"/>
      <c r="H47" s="206"/>
      <c r="I47" s="206"/>
      <c r="J47" s="184"/>
      <c r="K47" s="185"/>
      <c r="L47" s="186"/>
      <c r="M47" s="126">
        <f t="shared" si="0"/>
        <v>0</v>
      </c>
      <c r="N47" s="126">
        <f t="shared" si="1"/>
        <v>0</v>
      </c>
      <c r="O47" s="126">
        <f t="shared" si="2"/>
        <v>0</v>
      </c>
      <c r="P47" s="130"/>
      <c r="Q47" s="125"/>
      <c r="R47" s="125"/>
    </row>
    <row r="48" spans="1:18" s="124" customFormat="1" ht="19.5" hidden="1" customHeight="1">
      <c r="A48" s="184">
        <v>33</v>
      </c>
      <c r="B48" s="206"/>
      <c r="C48" s="206"/>
      <c r="D48" s="206"/>
      <c r="E48" s="206"/>
      <c r="F48" s="206"/>
      <c r="G48" s="206"/>
      <c r="H48" s="206"/>
      <c r="I48" s="206"/>
      <c r="J48" s="184"/>
      <c r="K48" s="185"/>
      <c r="L48" s="186"/>
      <c r="M48" s="126">
        <f t="shared" si="0"/>
        <v>0</v>
      </c>
      <c r="N48" s="126">
        <f t="shared" si="1"/>
        <v>0</v>
      </c>
      <c r="O48" s="126">
        <f t="shared" si="2"/>
        <v>0</v>
      </c>
      <c r="P48" s="130"/>
      <c r="Q48" s="125"/>
      <c r="R48" s="125"/>
    </row>
    <row r="49" spans="1:18" s="124" customFormat="1" ht="19.5" hidden="1" customHeight="1">
      <c r="A49" s="184">
        <v>34</v>
      </c>
      <c r="B49" s="206"/>
      <c r="C49" s="206"/>
      <c r="D49" s="206"/>
      <c r="E49" s="206"/>
      <c r="F49" s="206"/>
      <c r="G49" s="206"/>
      <c r="H49" s="206"/>
      <c r="I49" s="206"/>
      <c r="J49" s="184"/>
      <c r="K49" s="185"/>
      <c r="L49" s="186"/>
      <c r="M49" s="126">
        <f t="shared" si="0"/>
        <v>0</v>
      </c>
      <c r="N49" s="126">
        <f t="shared" si="1"/>
        <v>0</v>
      </c>
      <c r="O49" s="126">
        <f t="shared" si="2"/>
        <v>0</v>
      </c>
      <c r="P49" s="130"/>
      <c r="Q49" s="125"/>
      <c r="R49" s="125"/>
    </row>
    <row r="50" spans="1:18" s="124" customFormat="1" ht="19.5" hidden="1" customHeight="1">
      <c r="A50" s="184">
        <v>35</v>
      </c>
      <c r="B50" s="206"/>
      <c r="C50" s="206"/>
      <c r="D50" s="206"/>
      <c r="E50" s="206"/>
      <c r="F50" s="206"/>
      <c r="G50" s="206"/>
      <c r="H50" s="206"/>
      <c r="I50" s="206"/>
      <c r="J50" s="184"/>
      <c r="K50" s="185"/>
      <c r="L50" s="186"/>
      <c r="M50" s="126">
        <f t="shared" si="0"/>
        <v>0</v>
      </c>
      <c r="N50" s="126">
        <f t="shared" si="1"/>
        <v>0</v>
      </c>
      <c r="O50" s="126">
        <f t="shared" si="2"/>
        <v>0</v>
      </c>
      <c r="P50" s="130"/>
      <c r="Q50" s="125"/>
      <c r="R50" s="125"/>
    </row>
    <row r="51" spans="1:18" s="124" customFormat="1" ht="19.5" hidden="1" customHeight="1">
      <c r="A51" s="184">
        <v>36</v>
      </c>
      <c r="B51" s="206"/>
      <c r="C51" s="206"/>
      <c r="D51" s="206"/>
      <c r="E51" s="206"/>
      <c r="F51" s="206"/>
      <c r="G51" s="206"/>
      <c r="H51" s="206"/>
      <c r="I51" s="206"/>
      <c r="J51" s="184"/>
      <c r="K51" s="185"/>
      <c r="L51" s="186"/>
      <c r="M51" s="126">
        <f t="shared" si="0"/>
        <v>0</v>
      </c>
      <c r="N51" s="126">
        <f t="shared" si="1"/>
        <v>0</v>
      </c>
      <c r="O51" s="126">
        <f t="shared" si="2"/>
        <v>0</v>
      </c>
      <c r="P51" s="130"/>
      <c r="Q51" s="125"/>
      <c r="R51" s="125"/>
    </row>
    <row r="52" spans="1:18" s="124" customFormat="1" ht="19.5" hidden="1" customHeight="1">
      <c r="A52" s="184">
        <v>37</v>
      </c>
      <c r="B52" s="206"/>
      <c r="C52" s="206"/>
      <c r="D52" s="206"/>
      <c r="E52" s="206"/>
      <c r="F52" s="206"/>
      <c r="G52" s="206"/>
      <c r="H52" s="206"/>
      <c r="I52" s="206"/>
      <c r="J52" s="184"/>
      <c r="K52" s="185"/>
      <c r="L52" s="186"/>
      <c r="M52" s="126">
        <f t="shared" si="0"/>
        <v>0</v>
      </c>
      <c r="N52" s="126">
        <f t="shared" si="1"/>
        <v>0</v>
      </c>
      <c r="O52" s="126">
        <f t="shared" si="2"/>
        <v>0</v>
      </c>
      <c r="P52" s="130"/>
      <c r="Q52" s="125"/>
      <c r="R52" s="125"/>
    </row>
    <row r="53" spans="1:18" s="124" customFormat="1" ht="19.5" hidden="1" customHeight="1">
      <c r="A53" s="184">
        <v>38</v>
      </c>
      <c r="B53" s="206"/>
      <c r="C53" s="206"/>
      <c r="D53" s="206"/>
      <c r="E53" s="206"/>
      <c r="F53" s="206"/>
      <c r="G53" s="206"/>
      <c r="H53" s="206"/>
      <c r="I53" s="206"/>
      <c r="J53" s="184"/>
      <c r="K53" s="185"/>
      <c r="L53" s="186"/>
      <c r="M53" s="126">
        <f t="shared" si="0"/>
        <v>0</v>
      </c>
      <c r="N53" s="126">
        <f t="shared" si="1"/>
        <v>0</v>
      </c>
      <c r="O53" s="126">
        <f t="shared" si="2"/>
        <v>0</v>
      </c>
      <c r="P53" s="130"/>
      <c r="Q53" s="125"/>
      <c r="R53" s="125"/>
    </row>
    <row r="54" spans="1:18" s="124" customFormat="1" ht="19.5" hidden="1" customHeight="1">
      <c r="A54" s="184">
        <v>39</v>
      </c>
      <c r="B54" s="206"/>
      <c r="C54" s="206"/>
      <c r="D54" s="206"/>
      <c r="E54" s="206"/>
      <c r="F54" s="206"/>
      <c r="G54" s="206"/>
      <c r="H54" s="206"/>
      <c r="I54" s="206"/>
      <c r="J54" s="184"/>
      <c r="K54" s="185"/>
      <c r="L54" s="186"/>
      <c r="M54" s="126">
        <f t="shared" si="0"/>
        <v>0</v>
      </c>
      <c r="N54" s="126">
        <f t="shared" si="1"/>
        <v>0</v>
      </c>
      <c r="O54" s="126">
        <f t="shared" si="2"/>
        <v>0</v>
      </c>
      <c r="P54" s="130"/>
      <c r="Q54" s="125"/>
      <c r="R54" s="125"/>
    </row>
    <row r="55" spans="1:18" s="124" customFormat="1" ht="19.5" hidden="1" customHeight="1">
      <c r="A55" s="184">
        <v>40</v>
      </c>
      <c r="B55" s="206"/>
      <c r="C55" s="206"/>
      <c r="D55" s="206"/>
      <c r="E55" s="206"/>
      <c r="F55" s="206"/>
      <c r="G55" s="206"/>
      <c r="H55" s="206"/>
      <c r="I55" s="206"/>
      <c r="J55" s="184"/>
      <c r="K55" s="185"/>
      <c r="L55" s="186"/>
      <c r="M55" s="126">
        <f t="shared" si="0"/>
        <v>0</v>
      </c>
      <c r="N55" s="126">
        <f t="shared" si="1"/>
        <v>0</v>
      </c>
      <c r="O55" s="126">
        <f t="shared" si="2"/>
        <v>0</v>
      </c>
      <c r="P55" s="130"/>
      <c r="Q55" s="125"/>
      <c r="R55" s="125"/>
    </row>
    <row r="56" spans="1:18" s="124" customFormat="1" ht="19.5" hidden="1" customHeight="1">
      <c r="A56" s="184">
        <v>41</v>
      </c>
      <c r="B56" s="206"/>
      <c r="C56" s="206"/>
      <c r="D56" s="206"/>
      <c r="E56" s="206"/>
      <c r="F56" s="206"/>
      <c r="G56" s="206"/>
      <c r="H56" s="206"/>
      <c r="I56" s="206"/>
      <c r="J56" s="184"/>
      <c r="K56" s="185"/>
      <c r="L56" s="186"/>
      <c r="M56" s="126">
        <f t="shared" si="0"/>
        <v>0</v>
      </c>
      <c r="N56" s="126">
        <f t="shared" si="1"/>
        <v>0</v>
      </c>
      <c r="O56" s="126">
        <f t="shared" si="2"/>
        <v>0</v>
      </c>
      <c r="P56" s="130"/>
      <c r="Q56" s="125"/>
      <c r="R56" s="125"/>
    </row>
    <row r="57" spans="1:18" s="124" customFormat="1" ht="19.5" hidden="1" customHeight="1">
      <c r="A57" s="184">
        <v>42</v>
      </c>
      <c r="B57" s="206"/>
      <c r="C57" s="206"/>
      <c r="D57" s="206"/>
      <c r="E57" s="206"/>
      <c r="F57" s="206"/>
      <c r="G57" s="206"/>
      <c r="H57" s="206"/>
      <c r="I57" s="206"/>
      <c r="J57" s="184"/>
      <c r="K57" s="185"/>
      <c r="L57" s="186"/>
      <c r="M57" s="126">
        <f t="shared" si="0"/>
        <v>0</v>
      </c>
      <c r="N57" s="126">
        <f t="shared" si="1"/>
        <v>0</v>
      </c>
      <c r="O57" s="126">
        <f t="shared" si="2"/>
        <v>0</v>
      </c>
      <c r="P57" s="130"/>
      <c r="Q57" s="125"/>
      <c r="R57" s="125"/>
    </row>
    <row r="58" spans="1:18" s="124" customFormat="1" ht="19.5" hidden="1" customHeight="1">
      <c r="A58" s="184">
        <v>43</v>
      </c>
      <c r="B58" s="206"/>
      <c r="C58" s="206"/>
      <c r="D58" s="206"/>
      <c r="E58" s="206"/>
      <c r="F58" s="206"/>
      <c r="G58" s="206"/>
      <c r="H58" s="206"/>
      <c r="I58" s="206"/>
      <c r="J58" s="184"/>
      <c r="K58" s="185"/>
      <c r="L58" s="186"/>
      <c r="M58" s="126">
        <f t="shared" si="0"/>
        <v>0</v>
      </c>
      <c r="N58" s="126">
        <f t="shared" si="1"/>
        <v>0</v>
      </c>
      <c r="O58" s="126">
        <f t="shared" si="2"/>
        <v>0</v>
      </c>
      <c r="P58" s="130"/>
      <c r="Q58" s="125"/>
      <c r="R58" s="125"/>
    </row>
    <row r="59" spans="1:18" s="124" customFormat="1" ht="19.5" hidden="1" customHeight="1">
      <c r="A59" s="184">
        <v>44</v>
      </c>
      <c r="B59" s="206"/>
      <c r="C59" s="206"/>
      <c r="D59" s="206"/>
      <c r="E59" s="206"/>
      <c r="F59" s="206"/>
      <c r="G59" s="206"/>
      <c r="H59" s="206"/>
      <c r="I59" s="206"/>
      <c r="J59" s="184"/>
      <c r="K59" s="185"/>
      <c r="L59" s="186"/>
      <c r="M59" s="126">
        <f t="shared" si="0"/>
        <v>0</v>
      </c>
      <c r="N59" s="126">
        <f t="shared" si="1"/>
        <v>0</v>
      </c>
      <c r="O59" s="126">
        <f t="shared" si="2"/>
        <v>0</v>
      </c>
      <c r="P59" s="130"/>
      <c r="Q59" s="125"/>
      <c r="R59" s="125"/>
    </row>
    <row r="60" spans="1:18" s="124" customFormat="1" ht="19.5" hidden="1" customHeight="1">
      <c r="A60" s="184">
        <v>45</v>
      </c>
      <c r="B60" s="206"/>
      <c r="C60" s="206"/>
      <c r="D60" s="206"/>
      <c r="E60" s="206"/>
      <c r="F60" s="206"/>
      <c r="G60" s="206"/>
      <c r="H60" s="206"/>
      <c r="I60" s="206"/>
      <c r="J60" s="184"/>
      <c r="K60" s="185"/>
      <c r="L60" s="186"/>
      <c r="M60" s="126">
        <f t="shared" si="0"/>
        <v>0</v>
      </c>
      <c r="N60" s="126">
        <f t="shared" si="1"/>
        <v>0</v>
      </c>
      <c r="O60" s="126">
        <f t="shared" si="2"/>
        <v>0</v>
      </c>
      <c r="P60" s="130"/>
      <c r="Q60" s="125"/>
      <c r="R60" s="125"/>
    </row>
    <row r="61" spans="1:18" s="124" customFormat="1" ht="19.5" hidden="1" customHeight="1">
      <c r="A61" s="184">
        <v>46</v>
      </c>
      <c r="B61" s="206"/>
      <c r="C61" s="206"/>
      <c r="D61" s="206"/>
      <c r="E61" s="206"/>
      <c r="F61" s="206"/>
      <c r="G61" s="206"/>
      <c r="H61" s="206"/>
      <c r="I61" s="206"/>
      <c r="J61" s="184"/>
      <c r="K61" s="185"/>
      <c r="L61" s="186"/>
      <c r="M61" s="126">
        <f t="shared" si="0"/>
        <v>0</v>
      </c>
      <c r="N61" s="126">
        <f t="shared" si="1"/>
        <v>0</v>
      </c>
      <c r="O61" s="126">
        <f t="shared" si="2"/>
        <v>0</v>
      </c>
      <c r="P61" s="130"/>
      <c r="Q61" s="125"/>
      <c r="R61" s="125"/>
    </row>
    <row r="62" spans="1:18" s="124" customFormat="1" ht="19.5" hidden="1" customHeight="1">
      <c r="A62" s="184">
        <v>47</v>
      </c>
      <c r="B62" s="206"/>
      <c r="C62" s="206"/>
      <c r="D62" s="206"/>
      <c r="E62" s="206"/>
      <c r="F62" s="206"/>
      <c r="G62" s="206"/>
      <c r="H62" s="206"/>
      <c r="I62" s="206"/>
      <c r="J62" s="184"/>
      <c r="K62" s="185"/>
      <c r="L62" s="186"/>
      <c r="M62" s="126">
        <f t="shared" si="0"/>
        <v>0</v>
      </c>
      <c r="N62" s="126">
        <f t="shared" si="1"/>
        <v>0</v>
      </c>
      <c r="O62" s="126">
        <f t="shared" si="2"/>
        <v>0</v>
      </c>
      <c r="P62" s="130"/>
      <c r="Q62" s="125"/>
      <c r="R62" s="125"/>
    </row>
    <row r="63" spans="1:18" s="124" customFormat="1" ht="19.5" hidden="1" customHeight="1">
      <c r="A63" s="184">
        <v>48</v>
      </c>
      <c r="B63" s="206"/>
      <c r="C63" s="206"/>
      <c r="D63" s="206"/>
      <c r="E63" s="206"/>
      <c r="F63" s="206"/>
      <c r="G63" s="206"/>
      <c r="H63" s="206"/>
      <c r="I63" s="206"/>
      <c r="J63" s="184"/>
      <c r="K63" s="185"/>
      <c r="L63" s="186"/>
      <c r="M63" s="126">
        <f t="shared" si="0"/>
        <v>0</v>
      </c>
      <c r="N63" s="126">
        <f t="shared" si="1"/>
        <v>0</v>
      </c>
      <c r="O63" s="126">
        <f t="shared" si="2"/>
        <v>0</v>
      </c>
      <c r="P63" s="130"/>
      <c r="Q63" s="125"/>
      <c r="R63" s="125"/>
    </row>
    <row r="64" spans="1:18" s="124" customFormat="1" ht="19.5" hidden="1" customHeight="1">
      <c r="A64" s="184">
        <v>49</v>
      </c>
      <c r="B64" s="206"/>
      <c r="C64" s="206"/>
      <c r="D64" s="206"/>
      <c r="E64" s="206"/>
      <c r="F64" s="206"/>
      <c r="G64" s="206"/>
      <c r="H64" s="206"/>
      <c r="I64" s="206"/>
      <c r="J64" s="184"/>
      <c r="K64" s="185"/>
      <c r="L64" s="186"/>
      <c r="M64" s="126">
        <f t="shared" si="0"/>
        <v>0</v>
      </c>
      <c r="N64" s="126">
        <f t="shared" si="1"/>
        <v>0</v>
      </c>
      <c r="O64" s="126">
        <f t="shared" si="2"/>
        <v>0</v>
      </c>
      <c r="P64" s="130"/>
      <c r="Q64" s="125"/>
      <c r="R64" s="125"/>
    </row>
    <row r="65" spans="1:18" s="124" customFormat="1" ht="19.5" hidden="1" customHeight="1">
      <c r="A65" s="184">
        <v>50</v>
      </c>
      <c r="B65" s="206"/>
      <c r="C65" s="206"/>
      <c r="D65" s="206"/>
      <c r="E65" s="206"/>
      <c r="F65" s="206"/>
      <c r="G65" s="206"/>
      <c r="H65" s="206"/>
      <c r="I65" s="206"/>
      <c r="J65" s="184"/>
      <c r="K65" s="185"/>
      <c r="L65" s="186"/>
      <c r="M65" s="126">
        <f t="shared" si="0"/>
        <v>0</v>
      </c>
      <c r="N65" s="126">
        <f t="shared" si="1"/>
        <v>0</v>
      </c>
      <c r="O65" s="126">
        <f t="shared" si="2"/>
        <v>0</v>
      </c>
      <c r="P65" s="130"/>
      <c r="Q65" s="125"/>
      <c r="R65" s="125"/>
    </row>
    <row r="66" spans="1:18" s="124" customFormat="1" ht="19.5" hidden="1" customHeight="1">
      <c r="A66" s="184">
        <v>51</v>
      </c>
      <c r="B66" s="206"/>
      <c r="C66" s="206"/>
      <c r="D66" s="206"/>
      <c r="E66" s="206"/>
      <c r="F66" s="206"/>
      <c r="G66" s="206"/>
      <c r="H66" s="206"/>
      <c r="I66" s="206"/>
      <c r="J66" s="184"/>
      <c r="K66" s="185"/>
      <c r="L66" s="186"/>
      <c r="M66" s="126">
        <f t="shared" si="0"/>
        <v>0</v>
      </c>
      <c r="N66" s="126">
        <f t="shared" si="1"/>
        <v>0</v>
      </c>
      <c r="O66" s="126">
        <f t="shared" si="2"/>
        <v>0</v>
      </c>
      <c r="P66" s="130"/>
      <c r="Q66" s="125"/>
      <c r="R66" s="125"/>
    </row>
    <row r="67" spans="1:18" s="124" customFormat="1" ht="19.5" hidden="1" customHeight="1">
      <c r="A67" s="184">
        <v>52</v>
      </c>
      <c r="B67" s="206"/>
      <c r="C67" s="206"/>
      <c r="D67" s="206"/>
      <c r="E67" s="206"/>
      <c r="F67" s="206"/>
      <c r="G67" s="206"/>
      <c r="H67" s="206"/>
      <c r="I67" s="206"/>
      <c r="J67" s="184"/>
      <c r="K67" s="185"/>
      <c r="L67" s="186"/>
      <c r="M67" s="126">
        <f t="shared" si="0"/>
        <v>0</v>
      </c>
      <c r="N67" s="126">
        <f t="shared" si="1"/>
        <v>0</v>
      </c>
      <c r="O67" s="126">
        <f t="shared" si="2"/>
        <v>0</v>
      </c>
      <c r="P67" s="130"/>
      <c r="Q67" s="125"/>
      <c r="R67" s="125"/>
    </row>
    <row r="68" spans="1:18" s="124" customFormat="1" ht="19.5" hidden="1" customHeight="1">
      <c r="A68" s="184">
        <v>53</v>
      </c>
      <c r="B68" s="206"/>
      <c r="C68" s="206"/>
      <c r="D68" s="206"/>
      <c r="E68" s="206"/>
      <c r="F68" s="206"/>
      <c r="G68" s="206"/>
      <c r="H68" s="206"/>
      <c r="I68" s="206"/>
      <c r="J68" s="184"/>
      <c r="K68" s="185"/>
      <c r="L68" s="186"/>
      <c r="M68" s="126">
        <f t="shared" si="0"/>
        <v>0</v>
      </c>
      <c r="N68" s="126">
        <f t="shared" si="1"/>
        <v>0</v>
      </c>
      <c r="O68" s="126">
        <f t="shared" si="2"/>
        <v>0</v>
      </c>
      <c r="P68" s="130"/>
      <c r="Q68" s="125"/>
      <c r="R68" s="125"/>
    </row>
    <row r="69" spans="1:18" s="124" customFormat="1" ht="19.5" hidden="1" customHeight="1">
      <c r="A69" s="184">
        <v>54</v>
      </c>
      <c r="B69" s="206"/>
      <c r="C69" s="206"/>
      <c r="D69" s="206"/>
      <c r="E69" s="206"/>
      <c r="F69" s="206"/>
      <c r="G69" s="206"/>
      <c r="H69" s="206"/>
      <c r="I69" s="206"/>
      <c r="J69" s="184"/>
      <c r="K69" s="185"/>
      <c r="L69" s="186"/>
      <c r="M69" s="126">
        <f t="shared" si="0"/>
        <v>0</v>
      </c>
      <c r="N69" s="126">
        <f t="shared" si="1"/>
        <v>0</v>
      </c>
      <c r="O69" s="126">
        <f t="shared" si="2"/>
        <v>0</v>
      </c>
      <c r="P69" s="130"/>
      <c r="Q69" s="125"/>
      <c r="R69" s="125"/>
    </row>
    <row r="70" spans="1:18" s="124" customFormat="1" ht="19.5" hidden="1" customHeight="1">
      <c r="A70" s="184">
        <v>55</v>
      </c>
      <c r="B70" s="206"/>
      <c r="C70" s="206"/>
      <c r="D70" s="206"/>
      <c r="E70" s="206"/>
      <c r="F70" s="206"/>
      <c r="G70" s="206"/>
      <c r="H70" s="206"/>
      <c r="I70" s="206"/>
      <c r="J70" s="184"/>
      <c r="K70" s="185"/>
      <c r="L70" s="186"/>
      <c r="M70" s="126">
        <f t="shared" si="0"/>
        <v>0</v>
      </c>
      <c r="N70" s="126">
        <f t="shared" si="1"/>
        <v>0</v>
      </c>
      <c r="O70" s="126">
        <f t="shared" si="2"/>
        <v>0</v>
      </c>
      <c r="P70" s="130"/>
      <c r="Q70" s="125"/>
      <c r="R70" s="125"/>
    </row>
    <row r="71" spans="1:18" s="124" customFormat="1" ht="19.5" hidden="1" customHeight="1">
      <c r="A71" s="184">
        <v>56</v>
      </c>
      <c r="B71" s="206"/>
      <c r="C71" s="206"/>
      <c r="D71" s="206"/>
      <c r="E71" s="206"/>
      <c r="F71" s="206"/>
      <c r="G71" s="206"/>
      <c r="H71" s="206"/>
      <c r="I71" s="206"/>
      <c r="J71" s="184"/>
      <c r="K71" s="185"/>
      <c r="L71" s="186"/>
      <c r="M71" s="126">
        <f t="shared" si="0"/>
        <v>0</v>
      </c>
      <c r="N71" s="126">
        <f t="shared" si="1"/>
        <v>0</v>
      </c>
      <c r="O71" s="126">
        <f t="shared" si="2"/>
        <v>0</v>
      </c>
      <c r="P71" s="130"/>
      <c r="Q71" s="125"/>
      <c r="R71" s="125"/>
    </row>
    <row r="72" spans="1:18" s="124" customFormat="1" ht="19.5" hidden="1" customHeight="1">
      <c r="A72" s="184">
        <v>57</v>
      </c>
      <c r="B72" s="206"/>
      <c r="C72" s="206"/>
      <c r="D72" s="206"/>
      <c r="E72" s="206"/>
      <c r="F72" s="206"/>
      <c r="G72" s="206"/>
      <c r="H72" s="206"/>
      <c r="I72" s="206"/>
      <c r="J72" s="184"/>
      <c r="K72" s="185"/>
      <c r="L72" s="186"/>
      <c r="M72" s="126">
        <f t="shared" si="0"/>
        <v>0</v>
      </c>
      <c r="N72" s="126">
        <f t="shared" si="1"/>
        <v>0</v>
      </c>
      <c r="O72" s="126">
        <f t="shared" si="2"/>
        <v>0</v>
      </c>
      <c r="P72" s="130"/>
      <c r="Q72" s="125"/>
      <c r="R72" s="125"/>
    </row>
    <row r="73" spans="1:18" s="124" customFormat="1" ht="19.5" hidden="1" customHeight="1">
      <c r="A73" s="184">
        <v>58</v>
      </c>
      <c r="B73" s="206"/>
      <c r="C73" s="206"/>
      <c r="D73" s="206"/>
      <c r="E73" s="206"/>
      <c r="F73" s="206"/>
      <c r="G73" s="206"/>
      <c r="H73" s="206"/>
      <c r="I73" s="206"/>
      <c r="J73" s="184"/>
      <c r="K73" s="185"/>
      <c r="L73" s="186"/>
      <c r="M73" s="126">
        <f t="shared" si="0"/>
        <v>0</v>
      </c>
      <c r="N73" s="126">
        <f t="shared" si="1"/>
        <v>0</v>
      </c>
      <c r="O73" s="126">
        <f t="shared" si="2"/>
        <v>0</v>
      </c>
      <c r="P73" s="130"/>
      <c r="Q73" s="125"/>
      <c r="R73" s="125"/>
    </row>
    <row r="74" spans="1:18" s="124" customFormat="1" ht="19.5" hidden="1" customHeight="1">
      <c r="A74" s="184">
        <v>59</v>
      </c>
      <c r="B74" s="206"/>
      <c r="C74" s="206"/>
      <c r="D74" s="206"/>
      <c r="E74" s="206"/>
      <c r="F74" s="206"/>
      <c r="G74" s="206"/>
      <c r="H74" s="206"/>
      <c r="I74" s="206"/>
      <c r="J74" s="184"/>
      <c r="K74" s="185"/>
      <c r="L74" s="186"/>
      <c r="M74" s="126">
        <f t="shared" si="0"/>
        <v>0</v>
      </c>
      <c r="N74" s="126">
        <f t="shared" si="1"/>
        <v>0</v>
      </c>
      <c r="O74" s="126">
        <f t="shared" si="2"/>
        <v>0</v>
      </c>
      <c r="P74" s="130"/>
      <c r="Q74" s="125"/>
      <c r="R74" s="125"/>
    </row>
    <row r="75" spans="1:18" s="124" customFormat="1" ht="19.5" hidden="1" customHeight="1">
      <c r="A75" s="184">
        <v>60</v>
      </c>
      <c r="B75" s="206"/>
      <c r="C75" s="206"/>
      <c r="D75" s="206"/>
      <c r="E75" s="206"/>
      <c r="F75" s="206"/>
      <c r="G75" s="206"/>
      <c r="H75" s="206"/>
      <c r="I75" s="206"/>
      <c r="J75" s="184"/>
      <c r="K75" s="185"/>
      <c r="L75" s="186"/>
      <c r="M75" s="126">
        <f t="shared" si="0"/>
        <v>0</v>
      </c>
      <c r="N75" s="126">
        <f t="shared" si="1"/>
        <v>0</v>
      </c>
      <c r="O75" s="126">
        <f t="shared" si="2"/>
        <v>0</v>
      </c>
      <c r="P75" s="130"/>
      <c r="Q75" s="125"/>
      <c r="R75" s="125"/>
    </row>
    <row r="76" spans="1:18" s="124" customFormat="1" ht="19.5" hidden="1" customHeight="1">
      <c r="A76" s="184">
        <v>61</v>
      </c>
      <c r="B76" s="206"/>
      <c r="C76" s="206"/>
      <c r="D76" s="206"/>
      <c r="E76" s="206"/>
      <c r="F76" s="206"/>
      <c r="G76" s="206"/>
      <c r="H76" s="206"/>
      <c r="I76" s="206"/>
      <c r="J76" s="184"/>
      <c r="K76" s="185"/>
      <c r="L76" s="186"/>
      <c r="M76" s="126">
        <f t="shared" si="0"/>
        <v>0</v>
      </c>
      <c r="N76" s="126">
        <f t="shared" si="1"/>
        <v>0</v>
      </c>
      <c r="O76" s="126">
        <f t="shared" si="2"/>
        <v>0</v>
      </c>
      <c r="P76" s="130"/>
      <c r="Q76" s="125"/>
      <c r="R76" s="125"/>
    </row>
    <row r="77" spans="1:18" s="124" customFormat="1" ht="19.5" hidden="1" customHeight="1">
      <c r="A77" s="184">
        <v>62</v>
      </c>
      <c r="B77" s="206"/>
      <c r="C77" s="206"/>
      <c r="D77" s="206"/>
      <c r="E77" s="206"/>
      <c r="F77" s="206"/>
      <c r="G77" s="206"/>
      <c r="H77" s="206"/>
      <c r="I77" s="206"/>
      <c r="J77" s="184"/>
      <c r="K77" s="185"/>
      <c r="L77" s="186"/>
      <c r="M77" s="126">
        <f t="shared" si="0"/>
        <v>0</v>
      </c>
      <c r="N77" s="126">
        <f t="shared" si="1"/>
        <v>0</v>
      </c>
      <c r="O77" s="126">
        <f t="shared" si="2"/>
        <v>0</v>
      </c>
      <c r="P77" s="130"/>
      <c r="Q77" s="125"/>
      <c r="R77" s="125"/>
    </row>
    <row r="78" spans="1:18" s="124" customFormat="1" ht="19.5" hidden="1" customHeight="1">
      <c r="A78" s="184">
        <v>63</v>
      </c>
      <c r="B78" s="206"/>
      <c r="C78" s="206"/>
      <c r="D78" s="206"/>
      <c r="E78" s="206"/>
      <c r="F78" s="206"/>
      <c r="G78" s="206"/>
      <c r="H78" s="206"/>
      <c r="I78" s="206"/>
      <c r="J78" s="184"/>
      <c r="K78" s="185"/>
      <c r="L78" s="186"/>
      <c r="M78" s="126">
        <f t="shared" si="0"/>
        <v>0</v>
      </c>
      <c r="N78" s="126">
        <f t="shared" si="1"/>
        <v>0</v>
      </c>
      <c r="O78" s="126">
        <f t="shared" si="2"/>
        <v>0</v>
      </c>
      <c r="P78" s="130"/>
      <c r="Q78" s="125"/>
      <c r="R78" s="125"/>
    </row>
    <row r="79" spans="1:18" s="124" customFormat="1" ht="19.5" hidden="1" customHeight="1">
      <c r="A79" s="184">
        <v>64</v>
      </c>
      <c r="B79" s="206"/>
      <c r="C79" s="206"/>
      <c r="D79" s="206"/>
      <c r="E79" s="206"/>
      <c r="F79" s="206"/>
      <c r="G79" s="206"/>
      <c r="H79" s="206"/>
      <c r="I79" s="206"/>
      <c r="J79" s="184"/>
      <c r="K79" s="185"/>
      <c r="L79" s="186"/>
      <c r="M79" s="126">
        <f t="shared" si="0"/>
        <v>0</v>
      </c>
      <c r="N79" s="126">
        <f t="shared" si="1"/>
        <v>0</v>
      </c>
      <c r="O79" s="126">
        <f t="shared" si="2"/>
        <v>0</v>
      </c>
      <c r="P79" s="130"/>
      <c r="Q79" s="125"/>
      <c r="R79" s="125"/>
    </row>
    <row r="80" spans="1:18" s="124" customFormat="1" ht="19.5" hidden="1" customHeight="1">
      <c r="A80" s="184">
        <v>65</v>
      </c>
      <c r="B80" s="206"/>
      <c r="C80" s="206"/>
      <c r="D80" s="206"/>
      <c r="E80" s="206"/>
      <c r="F80" s="206"/>
      <c r="G80" s="206"/>
      <c r="H80" s="206"/>
      <c r="I80" s="206"/>
      <c r="J80" s="184"/>
      <c r="K80" s="185"/>
      <c r="L80" s="186"/>
      <c r="M80" s="126">
        <f t="shared" si="0"/>
        <v>0</v>
      </c>
      <c r="N80" s="126">
        <f t="shared" si="1"/>
        <v>0</v>
      </c>
      <c r="O80" s="126">
        <f t="shared" si="2"/>
        <v>0</v>
      </c>
      <c r="P80" s="130"/>
      <c r="Q80" s="125"/>
      <c r="R80" s="125"/>
    </row>
    <row r="81" spans="1:252" s="124" customFormat="1" ht="19.5" hidden="1" customHeight="1">
      <c r="A81" s="184">
        <v>66</v>
      </c>
      <c r="B81" s="206"/>
      <c r="C81" s="206"/>
      <c r="D81" s="206"/>
      <c r="E81" s="206"/>
      <c r="F81" s="206"/>
      <c r="G81" s="206"/>
      <c r="H81" s="206"/>
      <c r="I81" s="206"/>
      <c r="J81" s="184"/>
      <c r="K81" s="185"/>
      <c r="L81" s="186"/>
      <c r="M81" s="126">
        <f t="shared" ref="M81:M115" si="3">L81*K81</f>
        <v>0</v>
      </c>
      <c r="N81" s="126">
        <f t="shared" ref="N81:N115" si="4">M81*10%</f>
        <v>0</v>
      </c>
      <c r="O81" s="126">
        <f t="shared" ref="O81:O115" si="5">M81+N81</f>
        <v>0</v>
      </c>
      <c r="P81" s="130"/>
      <c r="Q81" s="125"/>
      <c r="R81" s="125"/>
    </row>
    <row r="82" spans="1:252" s="124" customFormat="1" ht="19.5" hidden="1" customHeight="1">
      <c r="A82" s="184">
        <v>67</v>
      </c>
      <c r="B82" s="206"/>
      <c r="C82" s="206"/>
      <c r="D82" s="206"/>
      <c r="E82" s="206"/>
      <c r="F82" s="206"/>
      <c r="G82" s="206"/>
      <c r="H82" s="206"/>
      <c r="I82" s="206"/>
      <c r="J82" s="184"/>
      <c r="K82" s="185"/>
      <c r="L82" s="186"/>
      <c r="M82" s="126">
        <f t="shared" si="3"/>
        <v>0</v>
      </c>
      <c r="N82" s="126">
        <f t="shared" si="4"/>
        <v>0</v>
      </c>
      <c r="O82" s="126">
        <f t="shared" si="5"/>
        <v>0</v>
      </c>
      <c r="P82" s="130"/>
      <c r="Q82" s="125"/>
      <c r="R82" s="125"/>
    </row>
    <row r="83" spans="1:252" s="124" customFormat="1" ht="19.5" hidden="1" customHeight="1">
      <c r="A83" s="184">
        <v>68</v>
      </c>
      <c r="B83" s="206"/>
      <c r="C83" s="206"/>
      <c r="D83" s="206"/>
      <c r="E83" s="206"/>
      <c r="F83" s="206"/>
      <c r="G83" s="206"/>
      <c r="H83" s="206"/>
      <c r="I83" s="206"/>
      <c r="J83" s="184"/>
      <c r="K83" s="185"/>
      <c r="L83" s="186"/>
      <c r="M83" s="126">
        <f t="shared" si="3"/>
        <v>0</v>
      </c>
      <c r="N83" s="126">
        <f t="shared" si="4"/>
        <v>0</v>
      </c>
      <c r="O83" s="126">
        <f t="shared" si="5"/>
        <v>0</v>
      </c>
      <c r="P83" s="130"/>
      <c r="Q83" s="125"/>
      <c r="R83" s="125"/>
    </row>
    <row r="84" spans="1:252" s="124" customFormat="1" ht="19.5" hidden="1" customHeight="1">
      <c r="A84" s="184">
        <v>69</v>
      </c>
      <c r="B84" s="206"/>
      <c r="C84" s="206"/>
      <c r="D84" s="206"/>
      <c r="E84" s="206"/>
      <c r="F84" s="206"/>
      <c r="G84" s="206"/>
      <c r="H84" s="206"/>
      <c r="I84" s="206"/>
      <c r="J84" s="184"/>
      <c r="K84" s="185"/>
      <c r="L84" s="186"/>
      <c r="M84" s="126">
        <f t="shared" si="3"/>
        <v>0</v>
      </c>
      <c r="N84" s="126">
        <f t="shared" si="4"/>
        <v>0</v>
      </c>
      <c r="O84" s="126">
        <f t="shared" si="5"/>
        <v>0</v>
      </c>
      <c r="P84" s="130"/>
      <c r="Q84" s="125"/>
      <c r="R84" s="125"/>
    </row>
    <row r="85" spans="1:252" ht="19.5" hidden="1" customHeight="1">
      <c r="A85" s="184">
        <v>70</v>
      </c>
      <c r="B85" s="206"/>
      <c r="C85" s="206"/>
      <c r="D85" s="206"/>
      <c r="E85" s="206"/>
      <c r="F85" s="206"/>
      <c r="G85" s="206"/>
      <c r="H85" s="206"/>
      <c r="I85" s="206"/>
      <c r="J85" s="184"/>
      <c r="K85" s="185"/>
      <c r="L85" s="186"/>
      <c r="M85" s="126">
        <f t="shared" si="3"/>
        <v>0</v>
      </c>
      <c r="N85" s="126">
        <f t="shared" si="4"/>
        <v>0</v>
      </c>
      <c r="O85" s="126">
        <f t="shared" si="5"/>
        <v>0</v>
      </c>
      <c r="P85" s="130"/>
      <c r="Q85" s="125"/>
      <c r="R85" s="125"/>
      <c r="S85" s="124"/>
      <c r="T85" s="124"/>
      <c r="U85" s="124"/>
      <c r="V85" s="124"/>
      <c r="W85" s="124"/>
      <c r="X85" s="124"/>
      <c r="Y85" s="124"/>
      <c r="Z85" s="124"/>
      <c r="AA85" s="124"/>
      <c r="AB85" s="124"/>
      <c r="AC85" s="124"/>
      <c r="AD85" s="124"/>
      <c r="AE85" s="124"/>
      <c r="AF85" s="124"/>
      <c r="AG85" s="124"/>
      <c r="AH85" s="124"/>
      <c r="AI85" s="124"/>
      <c r="AJ85" s="124"/>
      <c r="AK85" s="124"/>
      <c r="AL85" s="124"/>
      <c r="AM85" s="124"/>
      <c r="AN85" s="124"/>
      <c r="AO85" s="124"/>
      <c r="AP85" s="124"/>
      <c r="AQ85" s="124"/>
      <c r="AR85" s="124"/>
      <c r="AS85" s="124"/>
      <c r="AT85" s="124"/>
      <c r="AU85" s="124"/>
      <c r="AV85" s="124"/>
      <c r="AW85" s="124"/>
      <c r="AX85" s="124"/>
      <c r="AY85" s="124"/>
      <c r="AZ85" s="124"/>
      <c r="BA85" s="124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</row>
    <row r="86" spans="1:252" ht="19.5" hidden="1" customHeight="1">
      <c r="A86" s="184">
        <v>71</v>
      </c>
      <c r="B86" s="206"/>
      <c r="C86" s="206"/>
      <c r="D86" s="206"/>
      <c r="E86" s="206"/>
      <c r="F86" s="206"/>
      <c r="G86" s="206"/>
      <c r="H86" s="206"/>
      <c r="I86" s="206"/>
      <c r="J86" s="184"/>
      <c r="K86" s="185"/>
      <c r="L86" s="186"/>
      <c r="M86" s="126">
        <f t="shared" si="3"/>
        <v>0</v>
      </c>
      <c r="N86" s="126">
        <f t="shared" si="4"/>
        <v>0</v>
      </c>
      <c r="O86" s="126">
        <f t="shared" si="5"/>
        <v>0</v>
      </c>
      <c r="P86" s="130"/>
      <c r="Q86" s="125"/>
      <c r="R86" s="125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</row>
    <row r="87" spans="1:252" ht="19.5" hidden="1" customHeight="1">
      <c r="A87" s="184">
        <v>72</v>
      </c>
      <c r="B87" s="206"/>
      <c r="C87" s="206"/>
      <c r="D87" s="206"/>
      <c r="E87" s="206"/>
      <c r="F87" s="206"/>
      <c r="G87" s="206"/>
      <c r="H87" s="206"/>
      <c r="I87" s="206"/>
      <c r="J87" s="184"/>
      <c r="K87" s="185"/>
      <c r="L87" s="186"/>
      <c r="M87" s="126">
        <f t="shared" si="3"/>
        <v>0</v>
      </c>
      <c r="N87" s="126">
        <f t="shared" si="4"/>
        <v>0</v>
      </c>
      <c r="O87" s="126">
        <f t="shared" si="5"/>
        <v>0</v>
      </c>
      <c r="P87" s="130"/>
      <c r="Q87" s="125"/>
      <c r="R87" s="125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</row>
    <row r="88" spans="1:252" ht="19.5" hidden="1" customHeight="1">
      <c r="A88" s="184">
        <v>73</v>
      </c>
      <c r="B88" s="206"/>
      <c r="C88" s="206"/>
      <c r="D88" s="206"/>
      <c r="E88" s="206"/>
      <c r="F88" s="206"/>
      <c r="G88" s="206"/>
      <c r="H88" s="206"/>
      <c r="I88" s="206"/>
      <c r="J88" s="184"/>
      <c r="K88" s="185"/>
      <c r="L88" s="186"/>
      <c r="M88" s="126">
        <f t="shared" si="3"/>
        <v>0</v>
      </c>
      <c r="N88" s="126">
        <f t="shared" si="4"/>
        <v>0</v>
      </c>
      <c r="O88" s="126">
        <f t="shared" si="5"/>
        <v>0</v>
      </c>
      <c r="P88" s="130"/>
      <c r="Q88" s="125"/>
      <c r="R88" s="125"/>
      <c r="S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4"/>
      <c r="AD88" s="124"/>
      <c r="AE88" s="124"/>
      <c r="AF88" s="124"/>
      <c r="AG88" s="124"/>
      <c r="AH88" s="124"/>
      <c r="AI88" s="124"/>
      <c r="AJ88" s="124"/>
      <c r="AK88" s="124"/>
      <c r="AL88" s="124"/>
      <c r="AM88" s="124"/>
      <c r="AN88" s="124"/>
      <c r="AO88" s="124"/>
      <c r="AP88" s="124"/>
      <c r="AQ88" s="124"/>
      <c r="AR88" s="124"/>
      <c r="AS88" s="124"/>
      <c r="AT88" s="124"/>
      <c r="AU88" s="124"/>
      <c r="AV88" s="124"/>
      <c r="AW88" s="124"/>
      <c r="AX88" s="124"/>
      <c r="AY88" s="124"/>
      <c r="AZ88" s="124"/>
      <c r="BA88" s="124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</row>
    <row r="89" spans="1:252" ht="19.5" hidden="1" customHeight="1">
      <c r="A89" s="184">
        <v>74</v>
      </c>
      <c r="B89" s="206"/>
      <c r="C89" s="206"/>
      <c r="D89" s="206"/>
      <c r="E89" s="206"/>
      <c r="F89" s="206"/>
      <c r="G89" s="206"/>
      <c r="H89" s="206"/>
      <c r="I89" s="206"/>
      <c r="J89" s="184"/>
      <c r="K89" s="185"/>
      <c r="L89" s="186"/>
      <c r="M89" s="126">
        <f t="shared" si="3"/>
        <v>0</v>
      </c>
      <c r="N89" s="126">
        <f t="shared" si="4"/>
        <v>0</v>
      </c>
      <c r="O89" s="126">
        <f t="shared" si="5"/>
        <v>0</v>
      </c>
      <c r="P89" s="130"/>
      <c r="Q89" s="125"/>
      <c r="R89" s="125"/>
      <c r="S89" s="124"/>
      <c r="T89" s="124"/>
      <c r="U89" s="124"/>
      <c r="V89" s="124"/>
      <c r="W89" s="124"/>
      <c r="X89" s="124"/>
      <c r="Y89" s="124"/>
      <c r="Z89" s="124"/>
      <c r="AA89" s="124"/>
      <c r="AB89" s="124"/>
      <c r="AC89" s="124"/>
      <c r="AD89" s="124"/>
      <c r="AE89" s="124"/>
      <c r="AF89" s="124"/>
      <c r="AG89" s="124"/>
      <c r="AH89" s="124"/>
      <c r="AI89" s="124"/>
      <c r="AJ89" s="124"/>
      <c r="AK89" s="124"/>
      <c r="AL89" s="124"/>
      <c r="AM89" s="124"/>
      <c r="AN89" s="124"/>
      <c r="AO89" s="124"/>
      <c r="AP89" s="124"/>
      <c r="AQ89" s="124"/>
      <c r="AR89" s="124"/>
      <c r="AS89" s="124"/>
      <c r="AT89" s="124"/>
      <c r="AU89" s="124"/>
      <c r="AV89" s="124"/>
      <c r="AW89" s="124"/>
      <c r="AX89" s="124"/>
      <c r="AY89" s="124"/>
      <c r="AZ89" s="124"/>
      <c r="BA89" s="124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</row>
    <row r="90" spans="1:252" hidden="1">
      <c r="A90" s="184">
        <v>75</v>
      </c>
      <c r="B90" s="206"/>
      <c r="C90" s="206"/>
      <c r="D90" s="206"/>
      <c r="E90" s="206"/>
      <c r="F90" s="206"/>
      <c r="G90" s="206"/>
      <c r="H90" s="206"/>
      <c r="I90" s="206"/>
      <c r="J90" s="184"/>
      <c r="K90" s="185"/>
      <c r="L90" s="186"/>
      <c r="M90" s="126">
        <f t="shared" si="3"/>
        <v>0</v>
      </c>
      <c r="N90" s="126">
        <f t="shared" si="4"/>
        <v>0</v>
      </c>
      <c r="O90" s="126">
        <f t="shared" si="5"/>
        <v>0</v>
      </c>
      <c r="P90" s="130"/>
      <c r="Q90" s="125"/>
      <c r="R90" s="125"/>
      <c r="S90" s="124"/>
      <c r="T90" s="124"/>
      <c r="U90" s="124"/>
      <c r="V90" s="124"/>
      <c r="W90" s="124"/>
      <c r="X90" s="124"/>
      <c r="Y90" s="124"/>
      <c r="Z90" s="124"/>
      <c r="AA90" s="124"/>
      <c r="AB90" s="124"/>
      <c r="AC90" s="124"/>
      <c r="AD90" s="124"/>
      <c r="AE90" s="124"/>
      <c r="AF90" s="124"/>
      <c r="AG90" s="124"/>
      <c r="AH90" s="124"/>
      <c r="AI90" s="124"/>
      <c r="AJ90" s="124"/>
      <c r="AK90" s="124"/>
      <c r="AL90" s="124"/>
      <c r="AM90" s="124"/>
      <c r="AN90" s="124"/>
      <c r="AO90" s="124"/>
      <c r="AP90" s="124"/>
      <c r="AQ90" s="124"/>
      <c r="AR90" s="124"/>
      <c r="AS90" s="124"/>
      <c r="AT90" s="124"/>
      <c r="AU90" s="124"/>
      <c r="AV90" s="124"/>
      <c r="AW90" s="124"/>
      <c r="AX90" s="124"/>
      <c r="AY90" s="124"/>
      <c r="AZ90" s="124"/>
      <c r="BA90" s="124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</row>
    <row r="91" spans="1:252" hidden="1">
      <c r="A91" s="184">
        <v>76</v>
      </c>
      <c r="B91" s="206"/>
      <c r="C91" s="206"/>
      <c r="D91" s="206"/>
      <c r="E91" s="206"/>
      <c r="F91" s="206"/>
      <c r="G91" s="206"/>
      <c r="H91" s="206"/>
      <c r="I91" s="206"/>
      <c r="J91" s="184"/>
      <c r="K91" s="185"/>
      <c r="L91" s="186"/>
      <c r="M91" s="126">
        <f t="shared" si="3"/>
        <v>0</v>
      </c>
      <c r="N91" s="126">
        <f t="shared" si="4"/>
        <v>0</v>
      </c>
      <c r="O91" s="126">
        <f t="shared" si="5"/>
        <v>0</v>
      </c>
      <c r="P91" s="130"/>
      <c r="Q91" s="125"/>
      <c r="R91" s="125"/>
      <c r="S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D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24"/>
      <c r="AO91" s="124"/>
      <c r="AP91" s="124"/>
      <c r="AQ91" s="124"/>
      <c r="AR91" s="124"/>
      <c r="AS91" s="124"/>
      <c r="AT91" s="124"/>
      <c r="AU91" s="124"/>
      <c r="AV91" s="124"/>
      <c r="AW91" s="124"/>
      <c r="AX91" s="124"/>
      <c r="AY91" s="124"/>
      <c r="AZ91" s="124"/>
      <c r="BA91" s="124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</row>
    <row r="92" spans="1:252" hidden="1">
      <c r="A92" s="184">
        <v>77</v>
      </c>
      <c r="B92" s="206"/>
      <c r="C92" s="206"/>
      <c r="D92" s="206"/>
      <c r="E92" s="206"/>
      <c r="F92" s="206"/>
      <c r="G92" s="206"/>
      <c r="H92" s="206"/>
      <c r="I92" s="206"/>
      <c r="J92" s="184"/>
      <c r="K92" s="185"/>
      <c r="L92" s="186"/>
      <c r="M92" s="126">
        <f t="shared" si="3"/>
        <v>0</v>
      </c>
      <c r="N92" s="126">
        <f t="shared" si="4"/>
        <v>0</v>
      </c>
      <c r="O92" s="126">
        <f t="shared" si="5"/>
        <v>0</v>
      </c>
      <c r="P92" s="130"/>
      <c r="Q92" s="125"/>
      <c r="R92" s="125"/>
      <c r="S92" s="124"/>
      <c r="T92" s="124"/>
      <c r="U92" s="124"/>
      <c r="V92" s="124"/>
      <c r="W92" s="124"/>
      <c r="X92" s="124"/>
      <c r="Y92" s="124"/>
      <c r="Z92" s="124"/>
      <c r="AA92" s="124"/>
      <c r="AB92" s="124"/>
      <c r="AC92" s="124"/>
      <c r="AD92" s="124"/>
      <c r="AE92" s="124"/>
      <c r="AF92" s="124"/>
      <c r="AG92" s="124"/>
      <c r="AH92" s="124"/>
      <c r="AI92" s="124"/>
      <c r="AJ92" s="124"/>
      <c r="AK92" s="124"/>
      <c r="AL92" s="124"/>
      <c r="AM92" s="124"/>
      <c r="AN92" s="124"/>
      <c r="AO92" s="124"/>
      <c r="AP92" s="124"/>
      <c r="AQ92" s="124"/>
      <c r="AR92" s="124"/>
      <c r="AS92" s="124"/>
      <c r="AT92" s="124"/>
      <c r="AU92" s="124"/>
      <c r="AV92" s="124"/>
      <c r="AW92" s="124"/>
      <c r="AX92" s="124"/>
      <c r="AY92" s="124"/>
      <c r="AZ92" s="124"/>
      <c r="BA92" s="124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</row>
    <row r="93" spans="1:252" hidden="1">
      <c r="A93" s="184">
        <v>78</v>
      </c>
      <c r="B93" s="206"/>
      <c r="C93" s="206"/>
      <c r="D93" s="206"/>
      <c r="E93" s="206"/>
      <c r="F93" s="206"/>
      <c r="G93" s="206"/>
      <c r="H93" s="206"/>
      <c r="I93" s="206"/>
      <c r="J93" s="184"/>
      <c r="K93" s="185"/>
      <c r="L93" s="186"/>
      <c r="M93" s="126">
        <f t="shared" si="3"/>
        <v>0</v>
      </c>
      <c r="N93" s="126">
        <f t="shared" si="4"/>
        <v>0</v>
      </c>
      <c r="O93" s="126">
        <f t="shared" si="5"/>
        <v>0</v>
      </c>
      <c r="P93" s="130"/>
      <c r="Q93" s="125"/>
      <c r="R93" s="125"/>
      <c r="S93" s="124"/>
      <c r="T93" s="124"/>
      <c r="U93" s="124"/>
      <c r="V93" s="124"/>
      <c r="W93" s="124"/>
      <c r="X93" s="124"/>
      <c r="Y93" s="124"/>
      <c r="Z93" s="124"/>
      <c r="AA93" s="124"/>
      <c r="AB93" s="124"/>
      <c r="AC93" s="124"/>
      <c r="AD93" s="124"/>
      <c r="AE93" s="124"/>
      <c r="AF93" s="124"/>
      <c r="AG93" s="124"/>
      <c r="AH93" s="124"/>
      <c r="AI93" s="124"/>
      <c r="AJ93" s="124"/>
      <c r="AK93" s="124"/>
      <c r="AL93" s="124"/>
      <c r="AM93" s="124"/>
      <c r="AN93" s="124"/>
      <c r="AO93" s="124"/>
      <c r="AP93" s="124"/>
      <c r="AQ93" s="124"/>
      <c r="AR93" s="124"/>
      <c r="AS93" s="124"/>
      <c r="AT93" s="124"/>
      <c r="AU93" s="124"/>
      <c r="AV93" s="124"/>
      <c r="AW93" s="124"/>
      <c r="AX93" s="124"/>
      <c r="AY93" s="124"/>
      <c r="AZ93" s="124"/>
      <c r="BA93" s="124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</row>
    <row r="94" spans="1:252" hidden="1">
      <c r="A94" s="184">
        <v>79</v>
      </c>
      <c r="B94" s="206"/>
      <c r="C94" s="206"/>
      <c r="D94" s="206"/>
      <c r="E94" s="206"/>
      <c r="F94" s="206"/>
      <c r="G94" s="206"/>
      <c r="H94" s="206"/>
      <c r="I94" s="206"/>
      <c r="J94" s="184"/>
      <c r="K94" s="185"/>
      <c r="L94" s="186"/>
      <c r="M94" s="126">
        <f t="shared" si="3"/>
        <v>0</v>
      </c>
      <c r="N94" s="126">
        <f t="shared" si="4"/>
        <v>0</v>
      </c>
      <c r="O94" s="126">
        <f t="shared" si="5"/>
        <v>0</v>
      </c>
      <c r="P94" s="130"/>
      <c r="Q94" s="125"/>
      <c r="R94" s="125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4"/>
      <c r="AY94" s="124"/>
      <c r="AZ94" s="124"/>
      <c r="BA94" s="12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</row>
    <row r="95" spans="1:252" hidden="1">
      <c r="A95" s="184">
        <v>80</v>
      </c>
      <c r="B95" s="206"/>
      <c r="C95" s="206"/>
      <c r="D95" s="206"/>
      <c r="E95" s="206"/>
      <c r="F95" s="206"/>
      <c r="G95" s="206"/>
      <c r="H95" s="206"/>
      <c r="I95" s="206"/>
      <c r="J95" s="184"/>
      <c r="K95" s="185"/>
      <c r="L95" s="186"/>
      <c r="M95" s="126">
        <f t="shared" si="3"/>
        <v>0</v>
      </c>
      <c r="N95" s="126">
        <f t="shared" si="4"/>
        <v>0</v>
      </c>
      <c r="O95" s="126">
        <f t="shared" si="5"/>
        <v>0</v>
      </c>
      <c r="P95" s="130"/>
      <c r="Q95" s="125"/>
      <c r="R95" s="125"/>
      <c r="S95" s="124"/>
      <c r="T95" s="124"/>
      <c r="U95" s="124"/>
      <c r="V95" s="124"/>
      <c r="W95" s="124"/>
      <c r="X95" s="124"/>
      <c r="Y95" s="124"/>
      <c r="Z95" s="124"/>
      <c r="AA95" s="124"/>
      <c r="AB95" s="124"/>
      <c r="AC95" s="124"/>
      <c r="AD95" s="124"/>
      <c r="AE95" s="124"/>
      <c r="AF95" s="124"/>
      <c r="AG95" s="124"/>
      <c r="AH95" s="124"/>
      <c r="AI95" s="124"/>
      <c r="AJ95" s="124"/>
      <c r="AK95" s="124"/>
      <c r="AL95" s="124"/>
      <c r="AM95" s="124"/>
      <c r="AN95" s="124"/>
      <c r="AO95" s="124"/>
      <c r="AP95" s="124"/>
      <c r="AQ95" s="124"/>
      <c r="AR95" s="124"/>
      <c r="AS95" s="124"/>
      <c r="AT95" s="124"/>
      <c r="AU95" s="124"/>
      <c r="AV95" s="124"/>
      <c r="AW95" s="124"/>
      <c r="AX95" s="124"/>
      <c r="AY95" s="124"/>
      <c r="AZ95" s="124"/>
      <c r="BA95" s="124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</row>
    <row r="96" spans="1:252" hidden="1">
      <c r="A96" s="184">
        <v>81</v>
      </c>
      <c r="B96" s="206"/>
      <c r="C96" s="206"/>
      <c r="D96" s="206"/>
      <c r="E96" s="206"/>
      <c r="F96" s="206"/>
      <c r="G96" s="206"/>
      <c r="H96" s="206"/>
      <c r="I96" s="206"/>
      <c r="J96" s="184"/>
      <c r="K96" s="185"/>
      <c r="L96" s="186"/>
      <c r="M96" s="126">
        <f t="shared" si="3"/>
        <v>0</v>
      </c>
      <c r="N96" s="126">
        <f t="shared" si="4"/>
        <v>0</v>
      </c>
      <c r="O96" s="126">
        <f t="shared" si="5"/>
        <v>0</v>
      </c>
      <c r="P96" s="130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</row>
    <row r="97" spans="1:252" hidden="1">
      <c r="A97" s="184">
        <v>82</v>
      </c>
      <c r="B97" s="206"/>
      <c r="C97" s="206"/>
      <c r="D97" s="206"/>
      <c r="E97" s="206"/>
      <c r="F97" s="206"/>
      <c r="G97" s="206"/>
      <c r="H97" s="206"/>
      <c r="I97" s="206"/>
      <c r="J97" s="184"/>
      <c r="K97" s="185"/>
      <c r="L97" s="186"/>
      <c r="M97" s="126">
        <f t="shared" si="3"/>
        <v>0</v>
      </c>
      <c r="N97" s="126">
        <f t="shared" si="4"/>
        <v>0</v>
      </c>
      <c r="O97" s="126">
        <f t="shared" si="5"/>
        <v>0</v>
      </c>
      <c r="P97" s="130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</row>
    <row r="98" spans="1:252" hidden="1">
      <c r="A98" s="184">
        <v>83</v>
      </c>
      <c r="B98" s="206"/>
      <c r="C98" s="206"/>
      <c r="D98" s="206"/>
      <c r="E98" s="206"/>
      <c r="F98" s="206"/>
      <c r="G98" s="206"/>
      <c r="H98" s="206"/>
      <c r="I98" s="206"/>
      <c r="J98" s="184"/>
      <c r="K98" s="185"/>
      <c r="L98" s="186"/>
      <c r="M98" s="126">
        <f t="shared" si="3"/>
        <v>0</v>
      </c>
      <c r="N98" s="126">
        <f t="shared" si="4"/>
        <v>0</v>
      </c>
      <c r="O98" s="126">
        <f t="shared" si="5"/>
        <v>0</v>
      </c>
      <c r="P98" s="130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</row>
    <row r="99" spans="1:252" hidden="1">
      <c r="A99" s="184">
        <v>84</v>
      </c>
      <c r="B99" s="206"/>
      <c r="C99" s="206"/>
      <c r="D99" s="206"/>
      <c r="E99" s="206"/>
      <c r="F99" s="206"/>
      <c r="G99" s="206"/>
      <c r="H99" s="206"/>
      <c r="I99" s="206"/>
      <c r="J99" s="184"/>
      <c r="K99" s="185"/>
      <c r="L99" s="186"/>
      <c r="M99" s="126">
        <f t="shared" si="3"/>
        <v>0</v>
      </c>
      <c r="N99" s="126">
        <f t="shared" si="4"/>
        <v>0</v>
      </c>
      <c r="O99" s="126">
        <f t="shared" si="5"/>
        <v>0</v>
      </c>
      <c r="P99" s="130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</row>
    <row r="100" spans="1:252" hidden="1">
      <c r="A100" s="184">
        <v>85</v>
      </c>
      <c r="B100" s="206"/>
      <c r="C100" s="206"/>
      <c r="D100" s="206"/>
      <c r="E100" s="206"/>
      <c r="F100" s="206"/>
      <c r="G100" s="206"/>
      <c r="H100" s="206"/>
      <c r="I100" s="206"/>
      <c r="J100" s="184"/>
      <c r="K100" s="185"/>
      <c r="L100" s="186"/>
      <c r="M100" s="126">
        <f t="shared" si="3"/>
        <v>0</v>
      </c>
      <c r="N100" s="126">
        <f t="shared" si="4"/>
        <v>0</v>
      </c>
      <c r="O100" s="126">
        <f t="shared" si="5"/>
        <v>0</v>
      </c>
      <c r="P100" s="13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</row>
    <row r="101" spans="1:252" s="124" customFormat="1" hidden="1">
      <c r="A101" s="184">
        <v>86</v>
      </c>
      <c r="B101" s="206"/>
      <c r="C101" s="206"/>
      <c r="D101" s="206"/>
      <c r="E101" s="206"/>
      <c r="F101" s="206"/>
      <c r="G101" s="206"/>
      <c r="H101" s="206"/>
      <c r="I101" s="206"/>
      <c r="J101" s="184"/>
      <c r="K101" s="185"/>
      <c r="L101" s="186"/>
      <c r="M101" s="126">
        <f t="shared" si="3"/>
        <v>0</v>
      </c>
      <c r="N101" s="126">
        <f t="shared" si="4"/>
        <v>0</v>
      </c>
      <c r="O101" s="126">
        <f t="shared" si="5"/>
        <v>0</v>
      </c>
      <c r="P101" s="130"/>
      <c r="Q101" s="125"/>
      <c r="R101" s="125"/>
    </row>
    <row r="102" spans="1:252" s="124" customFormat="1" hidden="1">
      <c r="A102" s="184">
        <v>87</v>
      </c>
      <c r="B102" s="206"/>
      <c r="C102" s="206"/>
      <c r="D102" s="206"/>
      <c r="E102" s="206"/>
      <c r="F102" s="206"/>
      <c r="G102" s="206"/>
      <c r="H102" s="206"/>
      <c r="I102" s="206"/>
      <c r="J102" s="184"/>
      <c r="K102" s="185"/>
      <c r="L102" s="186"/>
      <c r="M102" s="126">
        <f t="shared" si="3"/>
        <v>0</v>
      </c>
      <c r="N102" s="126">
        <f t="shared" si="4"/>
        <v>0</v>
      </c>
      <c r="O102" s="126">
        <f t="shared" si="5"/>
        <v>0</v>
      </c>
      <c r="P102" s="130"/>
      <c r="Q102" s="125"/>
      <c r="R102" s="125"/>
    </row>
    <row r="103" spans="1:252" s="124" customFormat="1" hidden="1">
      <c r="A103" s="184">
        <v>88</v>
      </c>
      <c r="B103" s="206"/>
      <c r="C103" s="206"/>
      <c r="D103" s="206"/>
      <c r="E103" s="206"/>
      <c r="F103" s="206"/>
      <c r="G103" s="206"/>
      <c r="H103" s="206"/>
      <c r="I103" s="206"/>
      <c r="J103" s="184"/>
      <c r="K103" s="185"/>
      <c r="L103" s="186"/>
      <c r="M103" s="126">
        <f t="shared" si="3"/>
        <v>0</v>
      </c>
      <c r="N103" s="126">
        <f t="shared" si="4"/>
        <v>0</v>
      </c>
      <c r="O103" s="126">
        <f t="shared" si="5"/>
        <v>0</v>
      </c>
      <c r="P103" s="130"/>
      <c r="Q103" s="125"/>
      <c r="R103" s="125"/>
    </row>
    <row r="104" spans="1:252" s="124" customFormat="1" hidden="1">
      <c r="A104" s="184">
        <v>89</v>
      </c>
      <c r="B104" s="206"/>
      <c r="C104" s="206"/>
      <c r="D104" s="206"/>
      <c r="E104" s="206"/>
      <c r="F104" s="206"/>
      <c r="G104" s="206"/>
      <c r="H104" s="206"/>
      <c r="I104" s="206"/>
      <c r="J104" s="184"/>
      <c r="K104" s="185"/>
      <c r="L104" s="186"/>
      <c r="M104" s="126">
        <f t="shared" si="3"/>
        <v>0</v>
      </c>
      <c r="N104" s="126">
        <f t="shared" si="4"/>
        <v>0</v>
      </c>
      <c r="O104" s="126">
        <f t="shared" si="5"/>
        <v>0</v>
      </c>
      <c r="P104" s="130"/>
      <c r="Q104" s="125"/>
      <c r="R104" s="125"/>
    </row>
    <row r="105" spans="1:252" s="124" customFormat="1" hidden="1">
      <c r="A105" s="184">
        <v>90</v>
      </c>
      <c r="B105" s="206"/>
      <c r="C105" s="206"/>
      <c r="D105" s="206"/>
      <c r="E105" s="206"/>
      <c r="F105" s="206"/>
      <c r="G105" s="206"/>
      <c r="H105" s="206"/>
      <c r="I105" s="206"/>
      <c r="J105" s="184"/>
      <c r="K105" s="185"/>
      <c r="L105" s="186"/>
      <c r="M105" s="126">
        <f t="shared" si="3"/>
        <v>0</v>
      </c>
      <c r="N105" s="126">
        <f t="shared" si="4"/>
        <v>0</v>
      </c>
      <c r="O105" s="126">
        <f t="shared" si="5"/>
        <v>0</v>
      </c>
      <c r="P105" s="130"/>
      <c r="Q105" s="125"/>
      <c r="R105" s="125"/>
    </row>
    <row r="106" spans="1:252" s="124" customFormat="1" hidden="1">
      <c r="A106" s="184">
        <v>91</v>
      </c>
      <c r="B106" s="206"/>
      <c r="C106" s="206"/>
      <c r="D106" s="206"/>
      <c r="E106" s="206"/>
      <c r="F106" s="206"/>
      <c r="G106" s="206"/>
      <c r="H106" s="206"/>
      <c r="I106" s="206"/>
      <c r="J106" s="184"/>
      <c r="K106" s="185"/>
      <c r="L106" s="186"/>
      <c r="M106" s="126">
        <f t="shared" si="3"/>
        <v>0</v>
      </c>
      <c r="N106" s="126">
        <f t="shared" si="4"/>
        <v>0</v>
      </c>
      <c r="O106" s="126">
        <f t="shared" si="5"/>
        <v>0</v>
      </c>
      <c r="P106" s="130"/>
      <c r="Q106" s="125"/>
      <c r="R106" s="125"/>
    </row>
    <row r="107" spans="1:252" s="124" customFormat="1" hidden="1">
      <c r="A107" s="184">
        <v>92</v>
      </c>
      <c r="B107" s="206"/>
      <c r="C107" s="206"/>
      <c r="D107" s="206"/>
      <c r="E107" s="206"/>
      <c r="F107" s="206"/>
      <c r="G107" s="206"/>
      <c r="H107" s="206"/>
      <c r="I107" s="206"/>
      <c r="J107" s="184"/>
      <c r="K107" s="185"/>
      <c r="L107" s="186"/>
      <c r="M107" s="126">
        <f t="shared" si="3"/>
        <v>0</v>
      </c>
      <c r="N107" s="126">
        <f t="shared" si="4"/>
        <v>0</v>
      </c>
      <c r="O107" s="126">
        <f t="shared" si="5"/>
        <v>0</v>
      </c>
      <c r="P107" s="130"/>
      <c r="Q107" s="125"/>
      <c r="R107" s="125"/>
    </row>
    <row r="108" spans="1:252" s="124" customFormat="1" hidden="1">
      <c r="A108" s="184">
        <v>93</v>
      </c>
      <c r="B108" s="206"/>
      <c r="C108" s="206"/>
      <c r="D108" s="206"/>
      <c r="E108" s="206"/>
      <c r="F108" s="206"/>
      <c r="G108" s="206"/>
      <c r="H108" s="206"/>
      <c r="I108" s="206"/>
      <c r="J108" s="184"/>
      <c r="K108" s="185"/>
      <c r="L108" s="186"/>
      <c r="M108" s="126">
        <f t="shared" si="3"/>
        <v>0</v>
      </c>
      <c r="N108" s="126">
        <f t="shared" si="4"/>
        <v>0</v>
      </c>
      <c r="O108" s="126">
        <f t="shared" si="5"/>
        <v>0</v>
      </c>
      <c r="P108" s="130"/>
      <c r="Q108" s="125"/>
      <c r="R108" s="125"/>
    </row>
    <row r="109" spans="1:252" s="124" customFormat="1" hidden="1">
      <c r="A109" s="184">
        <v>94</v>
      </c>
      <c r="B109" s="206"/>
      <c r="C109" s="206"/>
      <c r="D109" s="206"/>
      <c r="E109" s="206"/>
      <c r="F109" s="206"/>
      <c r="G109" s="206"/>
      <c r="H109" s="206"/>
      <c r="I109" s="206"/>
      <c r="J109" s="184"/>
      <c r="K109" s="185"/>
      <c r="L109" s="186"/>
      <c r="M109" s="126">
        <f t="shared" si="3"/>
        <v>0</v>
      </c>
      <c r="N109" s="126">
        <f t="shared" si="4"/>
        <v>0</v>
      </c>
      <c r="O109" s="126">
        <f t="shared" si="5"/>
        <v>0</v>
      </c>
      <c r="P109" s="130"/>
      <c r="Q109" s="125"/>
      <c r="R109" s="125"/>
    </row>
    <row r="110" spans="1:252" s="124" customFormat="1" hidden="1">
      <c r="A110" s="184">
        <v>95</v>
      </c>
      <c r="B110" s="206"/>
      <c r="C110" s="206"/>
      <c r="D110" s="206"/>
      <c r="E110" s="206"/>
      <c r="F110" s="206"/>
      <c r="G110" s="206"/>
      <c r="H110" s="206"/>
      <c r="I110" s="206"/>
      <c r="J110" s="184"/>
      <c r="K110" s="185"/>
      <c r="L110" s="186"/>
      <c r="M110" s="126">
        <f t="shared" si="3"/>
        <v>0</v>
      </c>
      <c r="N110" s="126">
        <f t="shared" si="4"/>
        <v>0</v>
      </c>
      <c r="O110" s="126">
        <f t="shared" si="5"/>
        <v>0</v>
      </c>
      <c r="P110" s="130"/>
      <c r="Q110" s="125"/>
      <c r="R110" s="125"/>
    </row>
    <row r="111" spans="1:252" s="124" customFormat="1" hidden="1">
      <c r="A111" s="184">
        <v>96</v>
      </c>
      <c r="B111" s="206"/>
      <c r="C111" s="206"/>
      <c r="D111" s="206"/>
      <c r="E111" s="206"/>
      <c r="F111" s="206"/>
      <c r="G111" s="206"/>
      <c r="H111" s="206"/>
      <c r="I111" s="206"/>
      <c r="J111" s="184"/>
      <c r="K111" s="185"/>
      <c r="L111" s="186"/>
      <c r="M111" s="126">
        <f t="shared" si="3"/>
        <v>0</v>
      </c>
      <c r="N111" s="126">
        <f t="shared" si="4"/>
        <v>0</v>
      </c>
      <c r="O111" s="126">
        <f t="shared" si="5"/>
        <v>0</v>
      </c>
      <c r="P111" s="130"/>
      <c r="Q111" s="125"/>
      <c r="R111" s="125"/>
    </row>
    <row r="112" spans="1:252" hidden="1">
      <c r="A112" s="184">
        <v>97</v>
      </c>
      <c r="B112" s="206"/>
      <c r="C112" s="206"/>
      <c r="D112" s="206"/>
      <c r="E112" s="206"/>
      <c r="F112" s="206"/>
      <c r="G112" s="206"/>
      <c r="H112" s="206"/>
      <c r="I112" s="206"/>
      <c r="J112" s="184"/>
      <c r="K112" s="185"/>
      <c r="L112" s="186"/>
      <c r="M112" s="126">
        <f t="shared" si="3"/>
        <v>0</v>
      </c>
      <c r="N112" s="126">
        <f t="shared" si="4"/>
        <v>0</v>
      </c>
      <c r="O112" s="126">
        <f t="shared" si="5"/>
        <v>0</v>
      </c>
      <c r="P112" s="130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</row>
    <row r="113" spans="1:253" hidden="1">
      <c r="A113" s="184">
        <v>98</v>
      </c>
      <c r="B113" s="206"/>
      <c r="C113" s="206"/>
      <c r="D113" s="206"/>
      <c r="E113" s="206"/>
      <c r="F113" s="206"/>
      <c r="G113" s="206"/>
      <c r="H113" s="206"/>
      <c r="I113" s="206"/>
      <c r="J113" s="184"/>
      <c r="K113" s="185"/>
      <c r="L113" s="186"/>
      <c r="M113" s="126">
        <f t="shared" si="3"/>
        <v>0</v>
      </c>
      <c r="N113" s="126">
        <f t="shared" si="4"/>
        <v>0</v>
      </c>
      <c r="O113" s="126">
        <f t="shared" si="5"/>
        <v>0</v>
      </c>
      <c r="P113" s="130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</row>
    <row r="114" spans="1:253" hidden="1">
      <c r="A114" s="184">
        <v>99</v>
      </c>
      <c r="B114" s="206"/>
      <c r="C114" s="206"/>
      <c r="D114" s="206"/>
      <c r="E114" s="206"/>
      <c r="F114" s="206"/>
      <c r="G114" s="206"/>
      <c r="H114" s="206"/>
      <c r="I114" s="206"/>
      <c r="J114" s="187"/>
      <c r="K114" s="188"/>
      <c r="L114" s="186"/>
      <c r="M114" s="126">
        <f t="shared" si="3"/>
        <v>0</v>
      </c>
      <c r="N114" s="126">
        <f t="shared" si="4"/>
        <v>0</v>
      </c>
      <c r="O114" s="126">
        <f t="shared" si="5"/>
        <v>0</v>
      </c>
      <c r="P114" s="130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</row>
    <row r="115" spans="1:253" hidden="1">
      <c r="A115" s="184">
        <v>100</v>
      </c>
      <c r="B115" s="218"/>
      <c r="C115" s="218"/>
      <c r="D115" s="218"/>
      <c r="E115" s="218"/>
      <c r="F115" s="218"/>
      <c r="G115" s="218"/>
      <c r="H115" s="218"/>
      <c r="I115" s="219"/>
      <c r="J115" s="189"/>
      <c r="K115" s="189"/>
      <c r="L115" s="190"/>
      <c r="M115" s="126">
        <f t="shared" si="3"/>
        <v>0</v>
      </c>
      <c r="N115" s="126">
        <f t="shared" si="4"/>
        <v>0</v>
      </c>
      <c r="O115" s="126">
        <f t="shared" si="5"/>
        <v>0</v>
      </c>
      <c r="P115" s="130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</row>
    <row r="116" spans="1:253" ht="15.75" customHeight="1">
      <c r="B116" s="215" t="s">
        <v>143</v>
      </c>
      <c r="C116" s="216" t="s">
        <v>143</v>
      </c>
      <c r="D116" s="216" t="s">
        <v>143</v>
      </c>
      <c r="E116" s="216" t="s">
        <v>143</v>
      </c>
      <c r="F116" s="216" t="s">
        <v>143</v>
      </c>
      <c r="G116" s="216" t="s">
        <v>143</v>
      </c>
      <c r="H116" s="216" t="s">
        <v>143</v>
      </c>
      <c r="I116" s="217" t="s">
        <v>143</v>
      </c>
      <c r="J116" s="177"/>
      <c r="K116" s="181"/>
      <c r="L116" s="177"/>
      <c r="M116" s="178">
        <f>SUM(M15:M115)</f>
        <v>3302500</v>
      </c>
      <c r="N116" s="178">
        <f>SUM(N15:N115)</f>
        <v>330250</v>
      </c>
      <c r="O116" s="178">
        <f>SUM(O15:O115)</f>
        <v>3632750</v>
      </c>
      <c r="P116" s="130"/>
      <c r="Q116" s="27"/>
      <c r="R116" s="27"/>
      <c r="S116" s="27"/>
      <c r="T116" s="28"/>
      <c r="U116" s="29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28"/>
      <c r="CC116" s="28"/>
      <c r="CD116" s="28"/>
      <c r="CE116" s="28"/>
      <c r="CF116" s="28"/>
      <c r="CG116" s="28"/>
      <c r="CH116" s="28"/>
      <c r="CI116" s="28"/>
      <c r="CJ116" s="28"/>
      <c r="CK116" s="28"/>
      <c r="CL116" s="28"/>
      <c r="CM116" s="28"/>
      <c r="CN116" s="28"/>
      <c r="CO116" s="28"/>
      <c r="CP116" s="28"/>
      <c r="CQ116" s="28"/>
      <c r="CR116" s="28"/>
      <c r="CS116" s="28"/>
      <c r="CT116" s="28"/>
      <c r="CU116" s="28"/>
      <c r="CV116" s="28"/>
      <c r="CW116" s="28"/>
      <c r="CX116" s="28"/>
      <c r="CY116" s="28"/>
      <c r="CZ116" s="28"/>
      <c r="DA116" s="28"/>
      <c r="DB116" s="28"/>
      <c r="DC116" s="28"/>
      <c r="DD116" s="28"/>
      <c r="DE116" s="28"/>
      <c r="DF116" s="28"/>
      <c r="DG116" s="28"/>
      <c r="DH116" s="28"/>
      <c r="DI116" s="28"/>
      <c r="DJ116" s="28"/>
      <c r="DK116" s="28"/>
      <c r="DL116" s="28"/>
      <c r="DM116" s="28"/>
      <c r="DN116" s="28"/>
      <c r="DO116" s="28"/>
      <c r="DP116" s="28"/>
      <c r="DQ116" s="28"/>
      <c r="DR116" s="28"/>
      <c r="DS116" s="28"/>
      <c r="DT116" s="28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  <c r="EQ116" s="28"/>
      <c r="ER116" s="28"/>
      <c r="ES116" s="28"/>
      <c r="ET116" s="28"/>
      <c r="EU116" s="28"/>
      <c r="EV116" s="28"/>
      <c r="EW116" s="28"/>
      <c r="EX116" s="28"/>
      <c r="EY116" s="28"/>
      <c r="EZ116" s="28"/>
      <c r="FA116" s="28"/>
      <c r="FB116" s="28"/>
      <c r="FC116" s="28"/>
      <c r="FD116" s="28"/>
      <c r="FE116" s="28"/>
      <c r="FF116" s="28"/>
      <c r="FG116" s="28"/>
      <c r="FH116" s="28"/>
      <c r="FI116" s="28"/>
      <c r="FJ116" s="28"/>
      <c r="FK116" s="28"/>
      <c r="FL116" s="28"/>
      <c r="FM116" s="28"/>
      <c r="FN116" s="28"/>
      <c r="FO116" s="28"/>
      <c r="FP116" s="28"/>
      <c r="FQ116" s="28"/>
      <c r="FR116" s="28"/>
      <c r="FS116" s="28"/>
      <c r="FT116" s="28"/>
      <c r="FU116" s="28"/>
      <c r="FV116" s="28"/>
      <c r="FW116" s="28"/>
      <c r="FX116" s="28"/>
      <c r="FY116" s="28"/>
      <c r="FZ116" s="28"/>
      <c r="GA116" s="28"/>
      <c r="GB116" s="28"/>
      <c r="GC116" s="28"/>
      <c r="GD116" s="28"/>
      <c r="GE116" s="28"/>
      <c r="GF116" s="28"/>
      <c r="GG116" s="28"/>
      <c r="GH116" s="28"/>
      <c r="GI116" s="28"/>
      <c r="GJ116" s="28"/>
      <c r="GK116" s="28"/>
      <c r="GL116" s="28"/>
      <c r="GM116" s="28"/>
      <c r="GN116" s="28"/>
      <c r="GO116" s="28"/>
      <c r="GP116" s="28"/>
      <c r="GQ116" s="28"/>
      <c r="GR116" s="28"/>
      <c r="GS116" s="28"/>
      <c r="GT116" s="28"/>
      <c r="GU116" s="28"/>
      <c r="GV116" s="28"/>
      <c r="GW116" s="28"/>
      <c r="GX116" s="28"/>
      <c r="GY116" s="28"/>
      <c r="GZ116" s="28"/>
      <c r="HA116" s="28"/>
      <c r="HB116" s="28"/>
      <c r="HC116" s="28"/>
      <c r="HD116" s="28"/>
      <c r="HE116" s="28"/>
      <c r="HF116" s="28"/>
      <c r="HG116" s="28"/>
      <c r="HH116" s="28"/>
      <c r="HI116" s="28"/>
      <c r="HJ116" s="28"/>
      <c r="HK116" s="28"/>
      <c r="HL116" s="28"/>
      <c r="HM116" s="28"/>
      <c r="HN116" s="28"/>
      <c r="HO116" s="28"/>
      <c r="HP116" s="28"/>
      <c r="HQ116" s="28"/>
      <c r="HR116" s="28"/>
      <c r="HS116" s="28"/>
      <c r="HT116" s="28"/>
      <c r="HU116" s="28"/>
      <c r="HV116" s="28"/>
      <c r="HW116" s="28"/>
      <c r="HX116" s="28"/>
      <c r="HY116" s="28"/>
      <c r="HZ116" s="28"/>
      <c r="IA116" s="28"/>
      <c r="IB116" s="28"/>
      <c r="IC116" s="28"/>
      <c r="ID116" s="28"/>
      <c r="IE116" s="28"/>
      <c r="IF116" s="28"/>
      <c r="IG116" s="28"/>
      <c r="IH116" s="28"/>
      <c r="II116" s="28"/>
      <c r="IJ116" s="28"/>
      <c r="IK116" s="28"/>
      <c r="IL116" s="28"/>
      <c r="IM116" s="28"/>
      <c r="IN116" s="28"/>
      <c r="IO116" s="28"/>
      <c r="IP116" s="28"/>
      <c r="IQ116" s="28"/>
      <c r="IR116" s="28"/>
      <c r="IS116" s="28"/>
    </row>
    <row r="117" spans="1:253">
      <c r="A117" s="17"/>
      <c r="B117" s="7"/>
      <c r="C117" s="7"/>
      <c r="D117" s="7"/>
      <c r="E117" s="7"/>
      <c r="Q117" s="27"/>
      <c r="R117" s="27"/>
      <c r="S117" s="27"/>
      <c r="T117" s="28"/>
      <c r="U117" s="29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  <c r="IG117" s="28"/>
      <c r="IH117" s="28"/>
      <c r="II117" s="28"/>
      <c r="IJ117" s="28"/>
      <c r="IK117" s="28"/>
      <c r="IL117" s="28"/>
      <c r="IM117" s="28"/>
      <c r="IN117" s="28"/>
      <c r="IO117" s="28"/>
      <c r="IP117" s="28"/>
      <c r="IQ117" s="28"/>
      <c r="IR117" s="28"/>
      <c r="IS117" s="28"/>
    </row>
    <row r="118" spans="1:253" ht="15.75" customHeight="1">
      <c r="A118" s="23" t="s">
        <v>22</v>
      </c>
      <c r="B118" s="24"/>
      <c r="C118" s="25"/>
      <c r="D118" s="25"/>
      <c r="E118" s="25"/>
      <c r="F118" s="25"/>
      <c r="G118" s="25"/>
      <c r="H118" s="25"/>
      <c r="I118" s="25"/>
      <c r="J118" s="24"/>
      <c r="K118" s="25"/>
      <c r="L118" s="25"/>
      <c r="M118" s="25"/>
      <c r="N118" s="25"/>
      <c r="O118" s="25"/>
      <c r="P118" s="26"/>
      <c r="Q118" s="27"/>
      <c r="R118" s="27"/>
      <c r="S118" s="27"/>
      <c r="T118" s="28"/>
      <c r="U118" s="29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28"/>
      <c r="DD118" s="28"/>
      <c r="DE118" s="28"/>
      <c r="DF118" s="28"/>
      <c r="DG118" s="28"/>
      <c r="DH118" s="28"/>
      <c r="DI118" s="28"/>
      <c r="DJ118" s="28"/>
      <c r="DK118" s="28"/>
      <c r="DL118" s="28"/>
      <c r="DM118" s="28"/>
      <c r="DN118" s="28"/>
      <c r="DO118" s="28"/>
      <c r="DP118" s="28"/>
      <c r="DQ118" s="28"/>
      <c r="DR118" s="28"/>
      <c r="DS118" s="28"/>
      <c r="DT118" s="28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28"/>
      <c r="EU118" s="28"/>
      <c r="EV118" s="28"/>
      <c r="EW118" s="28"/>
      <c r="EX118" s="28"/>
      <c r="EY118" s="28"/>
      <c r="EZ118" s="28"/>
      <c r="FA118" s="28"/>
      <c r="FB118" s="28"/>
      <c r="FC118" s="28"/>
      <c r="FD118" s="28"/>
      <c r="FE118" s="28"/>
      <c r="FF118" s="28"/>
      <c r="FG118" s="28"/>
      <c r="FH118" s="28"/>
      <c r="FI118" s="28"/>
      <c r="FJ118" s="28"/>
      <c r="FK118" s="28"/>
      <c r="FL118" s="28"/>
      <c r="FM118" s="28"/>
      <c r="FN118" s="28"/>
      <c r="FO118" s="28"/>
      <c r="FP118" s="28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  <c r="IB118" s="28"/>
      <c r="IC118" s="28"/>
      <c r="ID118" s="28"/>
      <c r="IE118" s="28"/>
      <c r="IF118" s="28"/>
      <c r="IG118" s="28"/>
      <c r="IH118" s="28"/>
      <c r="II118" s="28"/>
      <c r="IJ118" s="28"/>
      <c r="IK118" s="28"/>
      <c r="IL118" s="28"/>
      <c r="IM118" s="28"/>
      <c r="IN118" s="28"/>
      <c r="IO118" s="28"/>
      <c r="IP118" s="28"/>
      <c r="IQ118" s="28"/>
      <c r="IR118" s="28"/>
      <c r="IS118" s="28"/>
    </row>
    <row r="119" spans="1:253" ht="15.75" customHeight="1">
      <c r="A119" s="25"/>
      <c r="B119" s="25"/>
      <c r="C119" s="25"/>
      <c r="D119" s="25"/>
      <c r="E119" s="25"/>
      <c r="F119" s="25"/>
      <c r="G119" s="25"/>
      <c r="H119" s="25"/>
      <c r="I119" s="25"/>
      <c r="J119" s="24"/>
      <c r="K119" s="25"/>
      <c r="L119" s="25"/>
      <c r="M119" s="25"/>
      <c r="N119" s="25"/>
      <c r="O119" s="25"/>
      <c r="P119" s="26"/>
      <c r="Q119" s="27"/>
      <c r="R119" s="27"/>
      <c r="S119" s="27"/>
      <c r="T119" s="25"/>
      <c r="U119" s="3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  <c r="EX119" s="25"/>
      <c r="EY119" s="25"/>
      <c r="EZ119" s="25"/>
      <c r="FA119" s="25"/>
      <c r="FB119" s="25"/>
      <c r="FC119" s="25"/>
      <c r="FD119" s="25"/>
      <c r="FE119" s="25"/>
      <c r="FF119" s="25"/>
      <c r="FG119" s="25"/>
      <c r="FH119" s="25"/>
      <c r="FI119" s="25"/>
      <c r="FJ119" s="25"/>
      <c r="FK119" s="25"/>
      <c r="FL119" s="25"/>
      <c r="FM119" s="25"/>
      <c r="FN119" s="25"/>
      <c r="FO119" s="25"/>
      <c r="FP119" s="25"/>
      <c r="FQ119" s="25"/>
      <c r="FR119" s="25"/>
      <c r="FS119" s="25"/>
      <c r="FT119" s="25"/>
      <c r="FU119" s="25"/>
      <c r="FV119" s="25"/>
      <c r="FW119" s="25"/>
      <c r="FX119" s="25"/>
      <c r="FY119" s="25"/>
      <c r="FZ119" s="25"/>
      <c r="GA119" s="25"/>
      <c r="GB119" s="25"/>
      <c r="GC119" s="25"/>
      <c r="GD119" s="25"/>
      <c r="GE119" s="25"/>
      <c r="GF119" s="25"/>
      <c r="GG119" s="25"/>
      <c r="GH119" s="25"/>
      <c r="GI119" s="25"/>
      <c r="GJ119" s="25"/>
      <c r="GK119" s="25"/>
      <c r="GL119" s="25"/>
      <c r="GM119" s="25"/>
      <c r="GN119" s="25"/>
      <c r="GO119" s="25"/>
      <c r="GP119" s="25"/>
      <c r="GQ119" s="25"/>
      <c r="GR119" s="25"/>
      <c r="GS119" s="25"/>
      <c r="GT119" s="25"/>
      <c r="GU119" s="25"/>
      <c r="GV119" s="25"/>
      <c r="GW119" s="25"/>
      <c r="GX119" s="25"/>
      <c r="GY119" s="25"/>
      <c r="GZ119" s="25"/>
      <c r="HA119" s="25"/>
      <c r="HB119" s="25"/>
      <c r="HC119" s="25"/>
      <c r="HD119" s="25"/>
      <c r="HE119" s="25"/>
      <c r="HF119" s="25"/>
      <c r="HG119" s="25"/>
      <c r="HH119" s="25"/>
      <c r="HI119" s="25"/>
      <c r="HJ119" s="25"/>
      <c r="HK119" s="25"/>
      <c r="HL119" s="25"/>
      <c r="HM119" s="25"/>
      <c r="HN119" s="25"/>
      <c r="HO119" s="25"/>
      <c r="HP119" s="25"/>
      <c r="HQ119" s="25"/>
      <c r="HR119" s="25"/>
      <c r="HS119" s="25"/>
      <c r="HT119" s="25"/>
      <c r="HU119" s="25"/>
      <c r="HV119" s="25"/>
      <c r="HW119" s="25"/>
      <c r="HX119" s="25"/>
      <c r="HY119" s="25"/>
      <c r="HZ119" s="25"/>
      <c r="IA119" s="25"/>
      <c r="IB119" s="25"/>
      <c r="IC119" s="25"/>
      <c r="ID119" s="25"/>
      <c r="IE119" s="25"/>
      <c r="IF119" s="25"/>
      <c r="IG119" s="25"/>
      <c r="IH119" s="25"/>
      <c r="II119" s="25"/>
      <c r="IJ119" s="25"/>
      <c r="IK119" s="25"/>
      <c r="IL119" s="25"/>
      <c r="IM119" s="25"/>
      <c r="IN119" s="25"/>
      <c r="IO119" s="25"/>
      <c r="IP119" s="25"/>
      <c r="IQ119" s="25"/>
      <c r="IR119" s="25"/>
      <c r="IS119" s="25"/>
    </row>
    <row r="120" spans="1:253" ht="15.75" customHeight="1">
      <c r="A120" s="30" t="s">
        <v>23</v>
      </c>
      <c r="B120" s="214" t="s">
        <v>24</v>
      </c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31"/>
      <c r="N120" s="31"/>
      <c r="O120" s="31"/>
      <c r="P120" s="26"/>
      <c r="Q120" s="27"/>
      <c r="R120" s="27"/>
      <c r="S120" s="27"/>
      <c r="T120" s="25"/>
      <c r="U120" s="3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  <c r="EX120" s="25"/>
      <c r="EY120" s="25"/>
      <c r="EZ120" s="25"/>
      <c r="FA120" s="25"/>
      <c r="FB120" s="25"/>
      <c r="FC120" s="25"/>
      <c r="FD120" s="25"/>
      <c r="FE120" s="25"/>
      <c r="FF120" s="25"/>
      <c r="FG120" s="25"/>
      <c r="FH120" s="25"/>
      <c r="FI120" s="25"/>
      <c r="FJ120" s="25"/>
      <c r="FK120" s="25"/>
      <c r="FL120" s="25"/>
      <c r="FM120" s="25"/>
      <c r="FN120" s="25"/>
      <c r="FO120" s="25"/>
      <c r="FP120" s="25"/>
      <c r="FQ120" s="25"/>
      <c r="FR120" s="25"/>
      <c r="FS120" s="25"/>
      <c r="FT120" s="25"/>
      <c r="FU120" s="25"/>
      <c r="FV120" s="25"/>
      <c r="FW120" s="25"/>
      <c r="FX120" s="25"/>
      <c r="FY120" s="25"/>
      <c r="FZ120" s="25"/>
      <c r="GA120" s="25"/>
      <c r="GB120" s="25"/>
      <c r="GC120" s="25"/>
      <c r="GD120" s="25"/>
      <c r="GE120" s="25"/>
      <c r="GF120" s="25"/>
      <c r="GG120" s="25"/>
      <c r="GH120" s="25"/>
      <c r="GI120" s="25"/>
      <c r="GJ120" s="25"/>
      <c r="GK120" s="25"/>
      <c r="GL120" s="25"/>
      <c r="GM120" s="25"/>
      <c r="GN120" s="25"/>
      <c r="GO120" s="25"/>
      <c r="GP120" s="25"/>
      <c r="GQ120" s="25"/>
      <c r="GR120" s="25"/>
      <c r="GS120" s="25"/>
      <c r="GT120" s="25"/>
      <c r="GU120" s="25"/>
      <c r="GV120" s="25"/>
      <c r="GW120" s="25"/>
      <c r="GX120" s="25"/>
      <c r="GY120" s="25"/>
      <c r="GZ120" s="25"/>
      <c r="HA120" s="25"/>
      <c r="HB120" s="25"/>
      <c r="HC120" s="25"/>
      <c r="HD120" s="25"/>
      <c r="HE120" s="25"/>
      <c r="HF120" s="25"/>
      <c r="HG120" s="25"/>
      <c r="HH120" s="25"/>
      <c r="HI120" s="25"/>
      <c r="HJ120" s="25"/>
      <c r="HK120" s="25"/>
      <c r="HL120" s="25"/>
      <c r="HM120" s="25"/>
      <c r="HN120" s="25"/>
      <c r="HO120" s="25"/>
      <c r="HP120" s="25"/>
      <c r="HQ120" s="25"/>
      <c r="HR120" s="25"/>
      <c r="HS120" s="25"/>
      <c r="HT120" s="25"/>
      <c r="HU120" s="25"/>
      <c r="HV120" s="25"/>
      <c r="HW120" s="25"/>
      <c r="HX120" s="25"/>
      <c r="HY120" s="25"/>
      <c r="HZ120" s="25"/>
      <c r="IA120" s="25"/>
      <c r="IB120" s="25"/>
      <c r="IC120" s="25"/>
      <c r="ID120" s="25"/>
      <c r="IE120" s="25"/>
      <c r="IF120" s="25"/>
      <c r="IG120" s="25"/>
      <c r="IH120" s="25"/>
      <c r="II120" s="25"/>
      <c r="IJ120" s="25"/>
      <c r="IK120" s="25"/>
      <c r="IL120" s="25"/>
      <c r="IM120" s="25"/>
      <c r="IN120" s="25"/>
      <c r="IO120" s="25"/>
      <c r="IP120" s="25"/>
      <c r="IQ120" s="25"/>
      <c r="IR120" s="25"/>
      <c r="IS120" s="25"/>
    </row>
    <row r="121" spans="1:253" ht="15.75">
      <c r="A121" s="25"/>
      <c r="B121" s="214" t="s">
        <v>25</v>
      </c>
      <c r="C121" s="214"/>
      <c r="D121" s="214"/>
      <c r="E121" s="214"/>
      <c r="F121" s="214"/>
      <c r="G121" s="32" t="s">
        <v>9</v>
      </c>
      <c r="H121" s="33"/>
      <c r="I121" s="33"/>
      <c r="J121" s="33"/>
      <c r="K121" s="33"/>
      <c r="L121" s="214" t="s">
        <v>26</v>
      </c>
      <c r="M121" s="214"/>
      <c r="N121" s="214"/>
      <c r="O121" s="34"/>
      <c r="P121" s="31"/>
      <c r="Q121" s="27"/>
      <c r="R121" s="27"/>
      <c r="S121" s="27"/>
      <c r="T121" s="25"/>
      <c r="U121" s="3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  <c r="EX121" s="25"/>
      <c r="EY121" s="25"/>
      <c r="EZ121" s="25"/>
      <c r="FA121" s="25"/>
      <c r="FB121" s="25"/>
      <c r="FC121" s="25"/>
      <c r="FD121" s="25"/>
      <c r="FE121" s="25"/>
      <c r="FF121" s="25"/>
      <c r="FG121" s="25"/>
      <c r="FH121" s="25"/>
      <c r="FI121" s="25"/>
      <c r="FJ121" s="25"/>
      <c r="FK121" s="25"/>
      <c r="FL121" s="25"/>
      <c r="FM121" s="25"/>
      <c r="FN121" s="25"/>
      <c r="FO121" s="25"/>
      <c r="FP121" s="25"/>
      <c r="FQ121" s="25"/>
      <c r="FR121" s="25"/>
      <c r="FS121" s="25"/>
      <c r="FT121" s="25"/>
      <c r="FU121" s="25"/>
      <c r="FV121" s="25"/>
      <c r="FW121" s="25"/>
      <c r="FX121" s="25"/>
      <c r="FY121" s="25"/>
      <c r="FZ121" s="25"/>
      <c r="GA121" s="25"/>
      <c r="GB121" s="25"/>
      <c r="GC121" s="25"/>
      <c r="GD121" s="25"/>
      <c r="GE121" s="25"/>
      <c r="GF121" s="25"/>
      <c r="GG121" s="25"/>
      <c r="GH121" s="25"/>
      <c r="GI121" s="25"/>
      <c r="GJ121" s="25"/>
      <c r="GK121" s="25"/>
      <c r="GL121" s="25"/>
      <c r="GM121" s="25"/>
      <c r="GN121" s="25"/>
      <c r="GO121" s="25"/>
      <c r="GP121" s="25"/>
      <c r="GQ121" s="25"/>
      <c r="GR121" s="25"/>
      <c r="GS121" s="25"/>
      <c r="GT121" s="25"/>
      <c r="GU121" s="25"/>
      <c r="GV121" s="25"/>
      <c r="GW121" s="25"/>
      <c r="GX121" s="25"/>
      <c r="GY121" s="25"/>
      <c r="GZ121" s="25"/>
      <c r="HA121" s="25"/>
      <c r="HB121" s="25"/>
      <c r="HC121" s="25"/>
      <c r="HD121" s="25"/>
      <c r="HE121" s="25"/>
      <c r="HF121" s="25"/>
      <c r="HG121" s="25"/>
      <c r="HH121" s="25"/>
      <c r="HI121" s="25"/>
      <c r="HJ121" s="25"/>
      <c r="HK121" s="25"/>
      <c r="HL121" s="25"/>
      <c r="HM121" s="25"/>
      <c r="HN121" s="25"/>
      <c r="HO121" s="25"/>
      <c r="HP121" s="25"/>
      <c r="HQ121" s="25"/>
      <c r="HR121" s="25"/>
      <c r="HS121" s="25"/>
      <c r="HT121" s="25"/>
      <c r="HU121" s="25"/>
      <c r="HV121" s="25"/>
      <c r="HW121" s="25"/>
      <c r="HX121" s="25"/>
      <c r="HY121" s="25"/>
      <c r="HZ121" s="25"/>
      <c r="IA121" s="25"/>
      <c r="IB121" s="25"/>
      <c r="IC121" s="25"/>
      <c r="ID121" s="25"/>
      <c r="IE121" s="25"/>
      <c r="IF121" s="25"/>
      <c r="IG121" s="25"/>
      <c r="IH121" s="25"/>
      <c r="II121" s="25"/>
      <c r="IJ121" s="25"/>
      <c r="IK121" s="25"/>
      <c r="IL121" s="25"/>
      <c r="IM121" s="25"/>
      <c r="IN121" s="25"/>
      <c r="IO121" s="25"/>
      <c r="IP121" s="25"/>
      <c r="IQ121" s="25"/>
      <c r="IR121" s="25"/>
      <c r="IS121" s="25"/>
    </row>
    <row r="122" spans="1:253" s="25" customFormat="1" ht="15.75">
      <c r="B122" s="214" t="s">
        <v>27</v>
      </c>
      <c r="C122" s="214"/>
      <c r="D122" s="214"/>
      <c r="E122" s="214"/>
      <c r="F122" s="214"/>
      <c r="G122" s="32" t="s">
        <v>9</v>
      </c>
      <c r="H122" s="36"/>
      <c r="I122" s="36"/>
      <c r="J122" s="36"/>
      <c r="K122" s="36"/>
      <c r="L122" s="214" t="s">
        <v>28</v>
      </c>
      <c r="M122" s="214"/>
      <c r="N122" s="214"/>
      <c r="O122" s="34"/>
      <c r="P122" s="31"/>
      <c r="Q122" s="27"/>
      <c r="R122" s="27"/>
      <c r="S122" s="27"/>
      <c r="U122" s="35"/>
    </row>
    <row r="123" spans="1:253">
      <c r="A123" s="25"/>
      <c r="B123" s="214" t="s">
        <v>29</v>
      </c>
      <c r="C123" s="214"/>
      <c r="D123" s="214"/>
      <c r="E123" s="214"/>
      <c r="F123" s="214"/>
      <c r="G123" s="32" t="s">
        <v>9</v>
      </c>
      <c r="H123" s="37"/>
      <c r="I123" s="37"/>
      <c r="J123" s="38"/>
      <c r="K123" s="37"/>
      <c r="L123" s="37"/>
      <c r="M123" s="37"/>
      <c r="N123" s="37"/>
      <c r="O123" s="37"/>
      <c r="P123" s="26"/>
      <c r="Q123" s="27"/>
      <c r="R123" s="27"/>
      <c r="S123" s="27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</row>
    <row r="124" spans="1:253" s="25" customFormat="1">
      <c r="J124" s="24"/>
      <c r="P124" s="26"/>
      <c r="Q124" s="27"/>
      <c r="R124" s="27"/>
      <c r="S124" s="27"/>
      <c r="U124" s="35"/>
    </row>
    <row r="125" spans="1:253" s="25" customFormat="1">
      <c r="A125" s="39" t="s">
        <v>30</v>
      </c>
      <c r="J125" s="24"/>
      <c r="M125" s="40" t="s">
        <v>31</v>
      </c>
      <c r="P125" s="6"/>
      <c r="Q125" s="27"/>
      <c r="R125" s="27"/>
      <c r="S125" s="27"/>
      <c r="U125" s="35"/>
    </row>
    <row r="126" spans="1:253" s="25" customFormat="1">
      <c r="J126" s="24"/>
      <c r="P126" s="26"/>
      <c r="Q126" s="27"/>
      <c r="R126" s="27"/>
      <c r="S126" s="27"/>
      <c r="U126" s="35"/>
    </row>
    <row r="127" spans="1:253">
      <c r="A127" s="25"/>
      <c r="B127" s="25"/>
      <c r="C127" s="25"/>
      <c r="D127" s="25"/>
      <c r="E127" s="25"/>
      <c r="F127" s="25"/>
      <c r="G127" s="25"/>
      <c r="H127" s="25"/>
      <c r="I127" s="25"/>
      <c r="J127" s="24"/>
      <c r="K127" s="25"/>
      <c r="L127" s="25"/>
      <c r="M127" s="25"/>
      <c r="N127" s="25"/>
      <c r="O127" s="25"/>
      <c r="P127" s="26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</row>
    <row r="128" spans="1:253">
      <c r="A128" s="25"/>
      <c r="B128" s="25"/>
      <c r="C128" s="25"/>
      <c r="D128" s="25"/>
      <c r="E128" s="25"/>
      <c r="F128" s="25"/>
      <c r="G128" s="25"/>
      <c r="H128" s="25"/>
      <c r="I128" s="25"/>
      <c r="J128" s="24"/>
      <c r="K128" s="25"/>
      <c r="L128" s="25"/>
      <c r="M128" s="25"/>
      <c r="N128" s="25"/>
      <c r="O128" s="25"/>
      <c r="P128" s="26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</row>
    <row r="129" spans="1:252">
      <c r="A129" s="37"/>
      <c r="B129" s="37"/>
      <c r="C129" s="37"/>
      <c r="D129" s="37"/>
      <c r="E129" s="37"/>
      <c r="F129" s="37"/>
      <c r="G129" s="25"/>
      <c r="H129" s="25"/>
      <c r="I129" s="25"/>
      <c r="J129" s="24"/>
      <c r="K129" s="25"/>
      <c r="L129" s="25"/>
      <c r="M129" s="41"/>
      <c r="N129" s="41"/>
      <c r="O129" s="41"/>
      <c r="P129" s="42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</row>
    <row r="130" spans="1:252">
      <c r="A130" s="43" t="s">
        <v>32</v>
      </c>
      <c r="B130" s="43"/>
      <c r="C130" s="28"/>
      <c r="D130" s="32" t="s">
        <v>9</v>
      </c>
      <c r="E130" s="28"/>
      <c r="F130" s="28"/>
      <c r="G130" s="28"/>
      <c r="H130" s="28"/>
      <c r="I130" s="28"/>
      <c r="J130" s="44"/>
      <c r="K130" s="44"/>
      <c r="L130" s="28"/>
      <c r="M130" s="45" t="s">
        <v>39</v>
      </c>
      <c r="N130" s="45"/>
      <c r="O130" s="45"/>
      <c r="P130" s="28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</row>
    <row r="131" spans="1:252">
      <c r="A131" s="28" t="s">
        <v>33</v>
      </c>
      <c r="B131" s="28"/>
      <c r="C131" s="28"/>
      <c r="D131" s="32" t="s">
        <v>9</v>
      </c>
      <c r="E131" s="28" t="s">
        <v>34</v>
      </c>
      <c r="F131" s="28"/>
      <c r="G131" s="28"/>
      <c r="H131" s="28"/>
      <c r="I131" s="28"/>
      <c r="J131" s="46"/>
      <c r="K131" s="28"/>
      <c r="L131" s="28"/>
      <c r="M131" s="28" t="s">
        <v>35</v>
      </c>
      <c r="N131" s="28"/>
      <c r="O131" s="47"/>
      <c r="P131" s="28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</row>
    <row r="132" spans="1:252">
      <c r="A132" s="48" t="s">
        <v>36</v>
      </c>
      <c r="B132" s="48"/>
      <c r="C132" s="28"/>
      <c r="D132" s="32" t="s">
        <v>9</v>
      </c>
      <c r="E132" s="49"/>
      <c r="F132" s="49"/>
      <c r="G132" s="49"/>
      <c r="H132" s="28"/>
      <c r="I132" s="28"/>
      <c r="J132" s="46"/>
      <c r="K132" s="28"/>
      <c r="L132" s="28"/>
      <c r="M132" s="32" t="s">
        <v>37</v>
      </c>
      <c r="N132" s="47"/>
      <c r="O132" s="47"/>
      <c r="P132" s="28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</row>
    <row r="133" spans="1:252"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</row>
    <row r="134" spans="1:252"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</row>
    <row r="135" spans="1:252"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</row>
    <row r="136" spans="1:252"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</row>
    <row r="137" spans="1:252"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</row>
    <row r="138" spans="1:252">
      <c r="M138" s="61" t="s">
        <v>38</v>
      </c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</row>
    <row r="139" spans="1:252"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</row>
    <row r="140" spans="1:252"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</row>
    <row r="141" spans="1:252"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</row>
    <row r="142" spans="1:252"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</row>
    <row r="143" spans="1:252"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</row>
    <row r="145" spans="1:25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</row>
    <row r="146" spans="1:25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</row>
    <row r="147" spans="1:25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</row>
    <row r="148" spans="1:25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</row>
    <row r="149" spans="1:25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</row>
    <row r="150" spans="1:25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</row>
    <row r="151" spans="1:25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</row>
    <row r="152" spans="1:25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</row>
    <row r="153" spans="1:25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</row>
    <row r="154" spans="1:25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</row>
    <row r="155" spans="1:25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</row>
    <row r="156" spans="1:25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</row>
    <row r="157" spans="1:25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</row>
    <row r="158" spans="1:25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</row>
    <row r="159" spans="1:25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</row>
    <row r="160" spans="1:25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</row>
    <row r="161" spans="1:25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</row>
    <row r="162" spans="1:25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</row>
    <row r="163" spans="1:25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</row>
    <row r="164" spans="1:25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</row>
    <row r="165" spans="1:25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</row>
    <row r="166" spans="1:25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</row>
    <row r="167" spans="1:25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</row>
    <row r="168" spans="1:25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</row>
    <row r="169" spans="1:25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</row>
    <row r="170" spans="1:25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</row>
    <row r="171" spans="1:25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</row>
    <row r="172" spans="1:25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</row>
    <row r="173" spans="1:25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</row>
    <row r="174" spans="1:25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</row>
    <row r="175" spans="1:25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</row>
    <row r="176" spans="1:25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</row>
    <row r="177" spans="1:25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</row>
    <row r="178" spans="1:25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</row>
    <row r="179" spans="1:25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</row>
    <row r="180" spans="1:25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</row>
    <row r="181" spans="1:25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</row>
    <row r="182" spans="1:25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</row>
    <row r="183" spans="1:25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</row>
    <row r="184" spans="1:25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</row>
    <row r="185" spans="1:25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</row>
    <row r="186" spans="1:25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</row>
    <row r="187" spans="1:25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</row>
    <row r="188" spans="1:25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</row>
    <row r="189" spans="1:25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</row>
    <row r="190" spans="1:25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</row>
    <row r="191" spans="1:25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</row>
    <row r="192" spans="1:25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</row>
    <row r="193" spans="1:25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</row>
    <row r="194" spans="1:25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</row>
    <row r="195" spans="1:25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</row>
    <row r="196" spans="1:25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</row>
    <row r="197" spans="1:25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</row>
    <row r="198" spans="1:25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</row>
    <row r="199" spans="1:25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</row>
    <row r="200" spans="1:25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</row>
    <row r="201" spans="1:25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</row>
    <row r="202" spans="1:25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</row>
    <row r="203" spans="1:25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</row>
    <row r="204" spans="1:25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</row>
    <row r="205" spans="1:25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</row>
    <row r="206" spans="1:25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</row>
    <row r="207" spans="1:25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</row>
    <row r="208" spans="1:25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</row>
    <row r="209" spans="1:25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</row>
    <row r="210" spans="1:25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</row>
    <row r="211" spans="1:25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</row>
    <row r="212" spans="1:25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</row>
    <row r="213" spans="1:25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</row>
    <row r="214" spans="1:25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</row>
    <row r="215" spans="1:25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</row>
    <row r="216" spans="1:25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</row>
    <row r="217" spans="1:25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</row>
    <row r="218" spans="1:25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</row>
    <row r="219" spans="1:25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</row>
    <row r="220" spans="1:25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</row>
    <row r="221" spans="1:25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</row>
    <row r="222" spans="1:25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</row>
    <row r="223" spans="1:25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</row>
    <row r="224" spans="1:25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</row>
    <row r="225" spans="1:25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</row>
    <row r="226" spans="1:25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</row>
    <row r="227" spans="1:25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</row>
    <row r="228" spans="1:25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</row>
    <row r="229" spans="1:25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</row>
    <row r="230" spans="1:25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</row>
    <row r="231" spans="1:25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</row>
    <row r="232" spans="1:25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</row>
    <row r="233" spans="1:25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</row>
    <row r="234" spans="1:25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</row>
    <row r="235" spans="1:25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</row>
  </sheetData>
  <autoFilter ref="A14:O116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12">
      <customFilters>
        <customFilter operator="greaterThan" val="0"/>
      </customFilters>
    </filterColumn>
  </autoFilter>
  <mergeCells count="114">
    <mergeCell ref="B123:F123"/>
    <mergeCell ref="B116:I116"/>
    <mergeCell ref="B120:L120"/>
    <mergeCell ref="B121:F121"/>
    <mergeCell ref="L121:N121"/>
    <mergeCell ref="B122:F122"/>
    <mergeCell ref="L122:N122"/>
    <mergeCell ref="B113:I113"/>
    <mergeCell ref="B114:I114"/>
    <mergeCell ref="B115:I115"/>
    <mergeCell ref="B90:I90"/>
    <mergeCell ref="B91:I91"/>
    <mergeCell ref="B92:I92"/>
    <mergeCell ref="B93:I93"/>
    <mergeCell ref="B109:I109"/>
    <mergeCell ref="B110:I110"/>
    <mergeCell ref="B94:I94"/>
    <mergeCell ref="B95:I95"/>
    <mergeCell ref="M12:O12"/>
    <mergeCell ref="B85:I85"/>
    <mergeCell ref="B86:I86"/>
    <mergeCell ref="B87:I87"/>
    <mergeCell ref="B99:I99"/>
    <mergeCell ref="B20:I20"/>
    <mergeCell ref="B21:I21"/>
    <mergeCell ref="B22:I22"/>
    <mergeCell ref="B23:I23"/>
    <mergeCell ref="B24:I24"/>
    <mergeCell ref="B25:I25"/>
    <mergeCell ref="B26:I26"/>
    <mergeCell ref="B27:I27"/>
    <mergeCell ref="B28:I28"/>
    <mergeCell ref="B106:I106"/>
    <mergeCell ref="B107:I107"/>
    <mergeCell ref="B112:I112"/>
    <mergeCell ref="A9:B9"/>
    <mergeCell ref="D10:I10"/>
    <mergeCell ref="A11:B11"/>
    <mergeCell ref="A12:B12"/>
    <mergeCell ref="B96:I96"/>
    <mergeCell ref="B97:I97"/>
    <mergeCell ref="B98:I98"/>
    <mergeCell ref="B100:I100"/>
    <mergeCell ref="B101:I101"/>
    <mergeCell ref="B102:I102"/>
    <mergeCell ref="B103:I103"/>
    <mergeCell ref="B104:I104"/>
    <mergeCell ref="B105:I105"/>
    <mergeCell ref="B31:I31"/>
    <mergeCell ref="B32:I32"/>
    <mergeCell ref="B33:I33"/>
    <mergeCell ref="B34:I34"/>
    <mergeCell ref="B35:I35"/>
    <mergeCell ref="B111:I111"/>
    <mergeCell ref="B16:I16"/>
    <mergeCell ref="B17:I17"/>
    <mergeCell ref="B18:I18"/>
    <mergeCell ref="B19:I19"/>
    <mergeCell ref="B108:I108"/>
    <mergeCell ref="B82:I82"/>
    <mergeCell ref="B83:I83"/>
    <mergeCell ref="B84:I84"/>
    <mergeCell ref="B36:I36"/>
    <mergeCell ref="B37:I37"/>
    <mergeCell ref="B38:I38"/>
    <mergeCell ref="B39:I39"/>
    <mergeCell ref="B40:I40"/>
    <mergeCell ref="B41:I41"/>
    <mergeCell ref="B42:I42"/>
    <mergeCell ref="B43:I43"/>
    <mergeCell ref="B44:I44"/>
    <mergeCell ref="B45:I45"/>
    <mergeCell ref="B46:I46"/>
    <mergeCell ref="B47:I47"/>
    <mergeCell ref="B48:I48"/>
    <mergeCell ref="B54:I54"/>
    <mergeCell ref="B55:I55"/>
    <mergeCell ref="B56:I56"/>
    <mergeCell ref="B88:I88"/>
    <mergeCell ref="B89:I89"/>
    <mergeCell ref="B49:I49"/>
    <mergeCell ref="B50:I50"/>
    <mergeCell ref="B51:I51"/>
    <mergeCell ref="B52:I52"/>
    <mergeCell ref="B53:I53"/>
    <mergeCell ref="B64:I64"/>
    <mergeCell ref="B65:I65"/>
    <mergeCell ref="B29:I29"/>
    <mergeCell ref="B30:I30"/>
    <mergeCell ref="B14:I14"/>
    <mergeCell ref="B80:I80"/>
    <mergeCell ref="B66:I66"/>
    <mergeCell ref="B67:I67"/>
    <mergeCell ref="B68:I68"/>
    <mergeCell ref="B59:I59"/>
    <mergeCell ref="B60:I60"/>
    <mergeCell ref="B61:I61"/>
    <mergeCell ref="B62:I62"/>
    <mergeCell ref="B63:I63"/>
    <mergeCell ref="B57:I57"/>
    <mergeCell ref="B58:I58"/>
    <mergeCell ref="B15:I15"/>
    <mergeCell ref="B81:I81"/>
    <mergeCell ref="B74:I74"/>
    <mergeCell ref="B75:I75"/>
    <mergeCell ref="B76:I76"/>
    <mergeCell ref="B77:I77"/>
    <mergeCell ref="B78:I78"/>
    <mergeCell ref="B69:I69"/>
    <mergeCell ref="B70:I70"/>
    <mergeCell ref="B71:I71"/>
    <mergeCell ref="B72:I72"/>
    <mergeCell ref="B73:I73"/>
    <mergeCell ref="B79:I79"/>
  </mergeCells>
  <pageMargins left="0.7" right="0.7" top="0.75" bottom="0.75" header="0.3" footer="0.3"/>
  <pageSetup scale="75" orientation="portrait" r:id="rId1"/>
  <colBreaks count="1" manualBreakCount="1">
    <brk id="15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 filterMode="1"/>
  <dimension ref="A1:IJ123"/>
  <sheetViews>
    <sheetView zoomScaleSheetLayoutView="100" workbookViewId="0">
      <selection activeCell="I11" sqref="I11"/>
    </sheetView>
  </sheetViews>
  <sheetFormatPr defaultRowHeight="15"/>
  <cols>
    <col min="1" max="1" width="5.140625" style="1" customWidth="1"/>
    <col min="2" max="2" width="30.7109375" style="2" customWidth="1"/>
    <col min="3" max="3" width="5.5703125" style="1" customWidth="1"/>
    <col min="4" max="4" width="6.5703125" style="2" customWidth="1"/>
    <col min="5" max="5" width="13.140625" style="60" customWidth="1"/>
    <col min="6" max="6" width="12.42578125" style="61" customWidth="1"/>
    <col min="7" max="7" width="10.85546875" style="61" customWidth="1"/>
    <col min="8" max="8" width="12.42578125" style="61" customWidth="1"/>
    <col min="9" max="244" width="9.7109375" style="2" customWidth="1"/>
    <col min="245" max="1016" width="9.7109375" customWidth="1"/>
    <col min="1017" max="1017" width="10.28515625" customWidth="1"/>
  </cols>
  <sheetData>
    <row r="1" spans="1:244" ht="19.5" customHeight="1">
      <c r="A1" s="228" t="s">
        <v>136</v>
      </c>
      <c r="B1" s="228"/>
      <c r="C1" s="228"/>
      <c r="D1" s="228"/>
      <c r="E1" s="228"/>
      <c r="F1" s="228"/>
      <c r="G1" s="228"/>
      <c r="H1" s="228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</row>
    <row r="2" spans="1:244">
      <c r="A2" s="234" t="s">
        <v>131</v>
      </c>
      <c r="B2" s="234"/>
      <c r="C2" s="234"/>
      <c r="D2" s="234"/>
      <c r="E2" s="234"/>
      <c r="F2" s="234"/>
      <c r="G2" s="234"/>
      <c r="H2" s="234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</row>
    <row r="3" spans="1:244">
      <c r="A3" s="87"/>
      <c r="B3" s="87"/>
      <c r="C3" s="87"/>
      <c r="D3" s="87"/>
      <c r="E3" s="89" t="s">
        <v>2</v>
      </c>
      <c r="F3" s="229" t="s">
        <v>3</v>
      </c>
      <c r="G3" s="229"/>
      <c r="H3" s="229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</row>
    <row r="4" spans="1:244">
      <c r="A4" s="87"/>
      <c r="B4" s="87"/>
      <c r="C4" s="87"/>
      <c r="D4" s="87"/>
      <c r="E4" s="88" t="s">
        <v>137</v>
      </c>
      <c r="F4" s="230">
        <v>310939840</v>
      </c>
      <c r="G4" s="230"/>
      <c r="H4" s="230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</row>
    <row r="5" spans="1:244" ht="15.75">
      <c r="A5" s="233" t="s">
        <v>132</v>
      </c>
      <c r="B5" s="233"/>
      <c r="C5" s="239" t="s">
        <v>224</v>
      </c>
      <c r="D5" s="239"/>
      <c r="E5" s="239"/>
      <c r="F5" s="240" t="s">
        <v>133</v>
      </c>
      <c r="G5" s="240"/>
      <c r="H5" s="240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</row>
    <row r="6" spans="1:244">
      <c r="A6" s="243" t="s">
        <v>231</v>
      </c>
      <c r="B6" s="243"/>
      <c r="C6" s="243"/>
      <c r="D6" s="243"/>
      <c r="E6" s="243"/>
      <c r="F6" s="241" t="s">
        <v>134</v>
      </c>
      <c r="G6" s="241"/>
      <c r="H6" s="241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</row>
    <row r="7" spans="1:244" ht="15.75" customHeight="1">
      <c r="A7" s="235" t="s">
        <v>225</v>
      </c>
      <c r="B7" s="235"/>
      <c r="C7" s="235"/>
      <c r="D7" s="235"/>
      <c r="E7" s="235"/>
      <c r="F7" s="242" t="s">
        <v>13</v>
      </c>
      <c r="G7" s="242"/>
      <c r="H7" s="242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</row>
    <row r="8" spans="1:244" ht="15.75">
      <c r="A8" s="238" t="s">
        <v>226</v>
      </c>
      <c r="B8" s="238"/>
      <c r="C8" s="238"/>
      <c r="D8" s="238"/>
      <c r="E8" s="238"/>
      <c r="F8" s="231"/>
      <c r="G8" s="231"/>
      <c r="H8" s="231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</row>
    <row r="9" spans="1:244">
      <c r="A9" s="236" t="s">
        <v>227</v>
      </c>
      <c r="B9" s="237"/>
      <c r="C9" s="237"/>
      <c r="D9" s="237"/>
      <c r="E9" s="237"/>
      <c r="F9" s="232" t="s">
        <v>135</v>
      </c>
      <c r="G9" s="232"/>
      <c r="H9" s="232"/>
      <c r="K9" s="195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</row>
    <row r="10" spans="1:244" ht="15.75">
      <c r="A10" s="192"/>
      <c r="B10" s="205" t="s">
        <v>243</v>
      </c>
      <c r="C10" s="192"/>
      <c r="D10" s="192"/>
      <c r="E10" s="196"/>
      <c r="F10" s="193"/>
      <c r="G10" s="193"/>
      <c r="H10" s="193"/>
      <c r="I10" s="197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</row>
    <row r="11" spans="1:244" ht="39.75" customHeight="1">
      <c r="A11" s="201" t="s">
        <v>40</v>
      </c>
      <c r="B11" s="202" t="s">
        <v>41</v>
      </c>
      <c r="C11" s="201" t="s">
        <v>16</v>
      </c>
      <c r="D11" s="201" t="s">
        <v>17</v>
      </c>
      <c r="E11" s="203" t="s">
        <v>42</v>
      </c>
      <c r="F11" s="204" t="s">
        <v>18</v>
      </c>
      <c r="G11" s="204" t="s">
        <v>130</v>
      </c>
      <c r="H11" s="204" t="s">
        <v>20</v>
      </c>
      <c r="K11" s="124"/>
      <c r="L11" s="124"/>
      <c r="M11" s="124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</row>
    <row r="12" spans="1:244" ht="19.5" customHeight="1">
      <c r="A12" s="194">
        <v>1</v>
      </c>
      <c r="B12" s="198" t="s">
        <v>153</v>
      </c>
      <c r="C12" s="198" t="s">
        <v>21</v>
      </c>
      <c r="D12" s="198">
        <v>9</v>
      </c>
      <c r="E12" s="199">
        <f>IFERROR(VLOOKUP(B12,DATA!$A$2:$C$200,3,0),0)</f>
        <v>2000</v>
      </c>
      <c r="F12" s="200">
        <f>E12*D12</f>
        <v>18000</v>
      </c>
      <c r="G12" s="200">
        <f>F12*10%</f>
        <v>1800</v>
      </c>
      <c r="H12" s="200">
        <f>F12+G12</f>
        <v>19800</v>
      </c>
      <c r="J12" s="197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</row>
    <row r="13" spans="1:244" ht="19.5" customHeight="1">
      <c r="A13" s="50">
        <v>2</v>
      </c>
      <c r="B13" s="131" t="s">
        <v>50</v>
      </c>
      <c r="C13" s="131" t="s">
        <v>51</v>
      </c>
      <c r="D13" s="131">
        <v>10</v>
      </c>
      <c r="E13" s="199">
        <f>IFERROR(VLOOKUP(B13,DATA!$A$2:$C$200,3,0),0)</f>
        <v>1200</v>
      </c>
      <c r="F13" s="200">
        <f t="shared" ref="F13:F76" si="0">E13*D13</f>
        <v>12000</v>
      </c>
      <c r="G13" s="200">
        <f t="shared" ref="G13:G76" si="1">F13*10%</f>
        <v>1200</v>
      </c>
      <c r="H13" s="200">
        <f t="shared" ref="H13:H76" si="2">F13+G13</f>
        <v>13200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</row>
    <row r="14" spans="1:244" ht="19.5" customHeight="1">
      <c r="A14" s="165">
        <v>3</v>
      </c>
      <c r="B14" s="131" t="s">
        <v>156</v>
      </c>
      <c r="C14" s="131" t="s">
        <v>46</v>
      </c>
      <c r="D14" s="131">
        <v>100</v>
      </c>
      <c r="E14" s="199">
        <f>IFERROR(VLOOKUP(B14,DATA!$A$2:$C$200,3,0),0)</f>
        <v>1170</v>
      </c>
      <c r="F14" s="200">
        <f t="shared" si="0"/>
        <v>117000</v>
      </c>
      <c r="G14" s="200">
        <f t="shared" si="1"/>
        <v>11700</v>
      </c>
      <c r="H14" s="200">
        <f t="shared" si="2"/>
        <v>128700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</row>
    <row r="15" spans="1:244" ht="19.5" customHeight="1">
      <c r="A15" s="165">
        <v>4</v>
      </c>
      <c r="B15" s="131" t="s">
        <v>165</v>
      </c>
      <c r="C15" s="131" t="s">
        <v>60</v>
      </c>
      <c r="D15" s="153">
        <v>2</v>
      </c>
      <c r="E15" s="199">
        <f>IFERROR(VLOOKUP(B15,DATA!$A$2:$C$200,3,0),0)</f>
        <v>3500</v>
      </c>
      <c r="F15" s="200">
        <f t="shared" si="0"/>
        <v>7000</v>
      </c>
      <c r="G15" s="200">
        <f t="shared" si="1"/>
        <v>700</v>
      </c>
      <c r="H15" s="200">
        <f t="shared" si="2"/>
        <v>7700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</row>
    <row r="16" spans="1:244" ht="19.5" customHeight="1">
      <c r="A16" s="165">
        <v>5</v>
      </c>
      <c r="B16" s="131" t="s">
        <v>166</v>
      </c>
      <c r="C16" s="131" t="s">
        <v>57</v>
      </c>
      <c r="D16" s="131">
        <v>6</v>
      </c>
      <c r="E16" s="199">
        <f>IFERROR(VLOOKUP(B16,DATA!$A$2:$C$200,3,0),0)</f>
        <v>4500</v>
      </c>
      <c r="F16" s="200">
        <f t="shared" si="0"/>
        <v>27000</v>
      </c>
      <c r="G16" s="200">
        <f t="shared" si="1"/>
        <v>2700</v>
      </c>
      <c r="H16" s="200">
        <f t="shared" si="2"/>
        <v>29700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</row>
    <row r="17" spans="1:244" ht="19.5" customHeight="1">
      <c r="A17" s="165">
        <v>6</v>
      </c>
      <c r="B17" s="131" t="s">
        <v>167</v>
      </c>
      <c r="C17" s="131" t="s">
        <v>57</v>
      </c>
      <c r="D17" s="131">
        <v>5</v>
      </c>
      <c r="E17" s="199">
        <f>IFERROR(VLOOKUP(B17,DATA!$A$2:$C$200,3,0),0)</f>
        <v>9500</v>
      </c>
      <c r="F17" s="200">
        <f t="shared" si="0"/>
        <v>47500</v>
      </c>
      <c r="G17" s="200">
        <f t="shared" si="1"/>
        <v>4750</v>
      </c>
      <c r="H17" s="200">
        <f t="shared" si="2"/>
        <v>52250</v>
      </c>
      <c r="I17" s="125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</row>
    <row r="18" spans="1:244" ht="19.5" customHeight="1">
      <c r="A18" s="165">
        <v>7</v>
      </c>
      <c r="B18" s="131" t="s">
        <v>64</v>
      </c>
      <c r="C18" s="131" t="s">
        <v>51</v>
      </c>
      <c r="D18" s="131">
        <v>5</v>
      </c>
      <c r="E18" s="199">
        <f>IFERROR(VLOOKUP(B18,DATA!$A$2:$C$200,3,0),0)</f>
        <v>3000</v>
      </c>
      <c r="F18" s="200">
        <f t="shared" si="0"/>
        <v>15000</v>
      </c>
      <c r="G18" s="200">
        <f t="shared" si="1"/>
        <v>1500</v>
      </c>
      <c r="H18" s="200">
        <f t="shared" si="2"/>
        <v>16500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</row>
    <row r="19" spans="1:244" ht="19.5" customHeight="1">
      <c r="A19" s="165">
        <v>8</v>
      </c>
      <c r="B19" s="131" t="s">
        <v>175</v>
      </c>
      <c r="C19" s="131" t="s">
        <v>70</v>
      </c>
      <c r="D19" s="131">
        <v>80</v>
      </c>
      <c r="E19" s="199">
        <f>IFERROR(VLOOKUP(B19,DATA!$A$2:$C$200,3,0),0)</f>
        <v>2600</v>
      </c>
      <c r="F19" s="200">
        <f t="shared" si="0"/>
        <v>208000</v>
      </c>
      <c r="G19" s="200">
        <f t="shared" si="1"/>
        <v>20800</v>
      </c>
      <c r="H19" s="200">
        <f t="shared" si="2"/>
        <v>228800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</row>
    <row r="20" spans="1:244" ht="19.5" customHeight="1">
      <c r="A20" s="165">
        <v>9</v>
      </c>
      <c r="B20" s="131" t="s">
        <v>176</v>
      </c>
      <c r="C20" s="131" t="s">
        <v>70</v>
      </c>
      <c r="D20" s="131">
        <v>5</v>
      </c>
      <c r="E20" s="199">
        <f>IFERROR(VLOOKUP(B20,DATA!$A$2:$C$200,3,0),0)</f>
        <v>8100</v>
      </c>
      <c r="F20" s="200">
        <f t="shared" si="0"/>
        <v>40500</v>
      </c>
      <c r="G20" s="200">
        <f t="shared" si="1"/>
        <v>4050</v>
      </c>
      <c r="H20" s="200">
        <f t="shared" si="2"/>
        <v>44550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</row>
    <row r="21" spans="1:244" ht="19.5" customHeight="1">
      <c r="A21" s="165">
        <v>10</v>
      </c>
      <c r="B21" s="131" t="s">
        <v>178</v>
      </c>
      <c r="C21" s="131" t="s">
        <v>70</v>
      </c>
      <c r="D21" s="131">
        <v>3</v>
      </c>
      <c r="E21" s="199">
        <f>IFERROR(VLOOKUP(B21,DATA!$A$2:$C$200,3,0),0)</f>
        <v>32000</v>
      </c>
      <c r="F21" s="200">
        <f t="shared" si="0"/>
        <v>96000</v>
      </c>
      <c r="G21" s="200">
        <f t="shared" si="1"/>
        <v>9600</v>
      </c>
      <c r="H21" s="200">
        <f t="shared" si="2"/>
        <v>105600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</row>
    <row r="22" spans="1:244" ht="19.5" customHeight="1">
      <c r="A22" s="165">
        <v>11</v>
      </c>
      <c r="B22" s="131" t="s">
        <v>179</v>
      </c>
      <c r="C22" s="131" t="s">
        <v>72</v>
      </c>
      <c r="D22" s="131">
        <v>2</v>
      </c>
      <c r="E22" s="199">
        <f>IFERROR(VLOOKUP(B22,DATA!$A$2:$C$200,3,0),0)</f>
        <v>33000</v>
      </c>
      <c r="F22" s="200">
        <f t="shared" si="0"/>
        <v>66000</v>
      </c>
      <c r="G22" s="200">
        <f t="shared" si="1"/>
        <v>6600</v>
      </c>
      <c r="H22" s="200">
        <f t="shared" si="2"/>
        <v>72600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</row>
    <row r="23" spans="1:244" ht="19.5" customHeight="1">
      <c r="A23" s="165">
        <v>12</v>
      </c>
      <c r="B23" s="131" t="s">
        <v>181</v>
      </c>
      <c r="C23" s="131" t="s">
        <v>70</v>
      </c>
      <c r="D23" s="131">
        <v>2</v>
      </c>
      <c r="E23" s="199">
        <f>IFERROR(VLOOKUP(B23,DATA!$A$2:$C$200,3,0),0)</f>
        <v>4800</v>
      </c>
      <c r="F23" s="200">
        <f t="shared" si="0"/>
        <v>9600</v>
      </c>
      <c r="G23" s="200">
        <f t="shared" si="1"/>
        <v>960</v>
      </c>
      <c r="H23" s="200">
        <f t="shared" si="2"/>
        <v>10560</v>
      </c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</row>
    <row r="24" spans="1:244" s="124" customFormat="1" ht="19.5" customHeight="1">
      <c r="A24" s="165">
        <v>13</v>
      </c>
      <c r="B24" s="131" t="s">
        <v>223</v>
      </c>
      <c r="C24" s="131" t="s">
        <v>81</v>
      </c>
      <c r="D24" s="131">
        <v>2</v>
      </c>
      <c r="E24" s="199">
        <f>IFERROR(VLOOKUP(B24,DATA!$A$2:$C$200,3,0),0)</f>
        <v>38000</v>
      </c>
      <c r="F24" s="200">
        <f t="shared" si="0"/>
        <v>76000</v>
      </c>
      <c r="G24" s="200">
        <f t="shared" si="1"/>
        <v>7600</v>
      </c>
      <c r="H24" s="200">
        <f t="shared" si="2"/>
        <v>83600</v>
      </c>
      <c r="I24" s="125"/>
      <c r="J24" s="125"/>
    </row>
    <row r="25" spans="1:244" s="124" customFormat="1" ht="19.5" customHeight="1">
      <c r="A25" s="165">
        <v>14</v>
      </c>
      <c r="B25" s="131" t="s">
        <v>214</v>
      </c>
      <c r="C25" s="131" t="s">
        <v>83</v>
      </c>
      <c r="D25" s="131">
        <v>2</v>
      </c>
      <c r="E25" s="199">
        <f>IFERROR(VLOOKUP(B25,DATA!$A$2:$C$200,3,0),0)</f>
        <v>8000</v>
      </c>
      <c r="F25" s="200">
        <f t="shared" si="0"/>
        <v>16000</v>
      </c>
      <c r="G25" s="200">
        <f t="shared" si="1"/>
        <v>1600</v>
      </c>
      <c r="H25" s="200">
        <f t="shared" si="2"/>
        <v>17600</v>
      </c>
      <c r="I25" s="125"/>
      <c r="J25" s="125"/>
    </row>
    <row r="26" spans="1:244" s="124" customFormat="1" ht="19.5" customHeight="1">
      <c r="A26" s="165">
        <v>15</v>
      </c>
      <c r="B26" s="131" t="s">
        <v>184</v>
      </c>
      <c r="C26" s="131" t="s">
        <v>57</v>
      </c>
      <c r="D26" s="131">
        <v>3</v>
      </c>
      <c r="E26" s="199">
        <f>IFERROR(VLOOKUP(B26,DATA!$A$2:$C$200,3,0),0)</f>
        <v>22000</v>
      </c>
      <c r="F26" s="200">
        <f t="shared" si="0"/>
        <v>66000</v>
      </c>
      <c r="G26" s="200">
        <f t="shared" si="1"/>
        <v>6600</v>
      </c>
      <c r="H26" s="200">
        <f t="shared" si="2"/>
        <v>72600</v>
      </c>
      <c r="I26" s="125"/>
      <c r="J26" s="125"/>
    </row>
    <row r="27" spans="1:244" s="124" customFormat="1" ht="19.5" customHeight="1">
      <c r="A27" s="165">
        <v>16</v>
      </c>
      <c r="B27" s="131" t="s">
        <v>193</v>
      </c>
      <c r="C27" s="131" t="s">
        <v>57</v>
      </c>
      <c r="D27" s="131">
        <v>10</v>
      </c>
      <c r="E27" s="199">
        <f>IFERROR(VLOOKUP(B27,DATA!$A$2:$C$200,3,0),0)</f>
        <v>4200</v>
      </c>
      <c r="F27" s="200">
        <f t="shared" si="0"/>
        <v>42000</v>
      </c>
      <c r="G27" s="200">
        <f t="shared" si="1"/>
        <v>4200</v>
      </c>
      <c r="H27" s="200">
        <f t="shared" si="2"/>
        <v>46200</v>
      </c>
      <c r="I27" s="125"/>
      <c r="J27" s="125"/>
    </row>
    <row r="28" spans="1:244" s="124" customFormat="1" ht="19.5" customHeight="1">
      <c r="A28" s="165">
        <v>17</v>
      </c>
      <c r="B28" s="131" t="s">
        <v>207</v>
      </c>
      <c r="C28" s="131" t="s">
        <v>51</v>
      </c>
      <c r="D28" s="131">
        <v>10</v>
      </c>
      <c r="E28" s="199">
        <f>IFERROR(VLOOKUP(B28,DATA!$A$2:$C$200,3,0),0)</f>
        <v>6200</v>
      </c>
      <c r="F28" s="200">
        <f t="shared" si="0"/>
        <v>62000</v>
      </c>
      <c r="G28" s="200">
        <f t="shared" si="1"/>
        <v>6200</v>
      </c>
      <c r="H28" s="200">
        <f t="shared" si="2"/>
        <v>68200</v>
      </c>
      <c r="I28" s="125"/>
      <c r="J28" s="125"/>
    </row>
    <row r="29" spans="1:244" s="124" customFormat="1" ht="19.5" customHeight="1">
      <c r="A29" s="165">
        <v>18</v>
      </c>
      <c r="B29" s="131" t="s">
        <v>235</v>
      </c>
      <c r="C29" s="131" t="s">
        <v>62</v>
      </c>
      <c r="D29" s="131">
        <v>2</v>
      </c>
      <c r="E29" s="199">
        <f>IFERROR(VLOOKUP(B29,DATA!$A$2:$C$200,3,0),0)</f>
        <v>28500</v>
      </c>
      <c r="F29" s="200">
        <f t="shared" si="0"/>
        <v>57000</v>
      </c>
      <c r="G29" s="200">
        <f t="shared" si="1"/>
        <v>5700</v>
      </c>
      <c r="H29" s="200">
        <f t="shared" si="2"/>
        <v>62700</v>
      </c>
      <c r="I29" s="125"/>
      <c r="J29" s="125"/>
    </row>
    <row r="30" spans="1:244" s="124" customFormat="1" ht="19.5" customHeight="1">
      <c r="A30" s="165">
        <v>19</v>
      </c>
      <c r="B30" s="131" t="s">
        <v>249</v>
      </c>
      <c r="C30" s="131" t="s">
        <v>45</v>
      </c>
      <c r="D30" s="132">
        <v>3</v>
      </c>
      <c r="E30" s="199">
        <f>IFERROR(VLOOKUP(B30,DATA!$A$2:$C$200,3,0),0)</f>
        <v>6800</v>
      </c>
      <c r="F30" s="200">
        <f t="shared" si="0"/>
        <v>20400</v>
      </c>
      <c r="G30" s="200">
        <f t="shared" si="1"/>
        <v>2040</v>
      </c>
      <c r="H30" s="200">
        <f t="shared" si="2"/>
        <v>22440</v>
      </c>
      <c r="I30" s="125"/>
      <c r="J30" s="125"/>
    </row>
    <row r="31" spans="1:244" s="124" customFormat="1" ht="19.5" customHeight="1">
      <c r="A31" s="165">
        <v>20</v>
      </c>
      <c r="B31" s="131" t="s">
        <v>250</v>
      </c>
      <c r="C31" s="131" t="s">
        <v>45</v>
      </c>
      <c r="D31" s="153">
        <v>3</v>
      </c>
      <c r="E31" s="199">
        <f>IFERROR(VLOOKUP(B31,DATA!$A$2:$C$200,3,0),0)</f>
        <v>13800</v>
      </c>
      <c r="F31" s="200">
        <f t="shared" si="0"/>
        <v>41400</v>
      </c>
      <c r="G31" s="200">
        <f t="shared" si="1"/>
        <v>4140</v>
      </c>
      <c r="H31" s="200">
        <f t="shared" si="2"/>
        <v>45540</v>
      </c>
      <c r="I31" s="125"/>
      <c r="J31" s="125"/>
    </row>
    <row r="32" spans="1:244" s="124" customFormat="1" ht="19.5" hidden="1" customHeight="1">
      <c r="A32" s="165">
        <v>21</v>
      </c>
      <c r="B32" s="131"/>
      <c r="C32" s="131"/>
      <c r="D32" s="131"/>
      <c r="E32" s="199">
        <f>IFERROR(VLOOKUP(B32,DATA!$A$2:$C$200,3,0),0)</f>
        <v>0</v>
      </c>
      <c r="F32" s="200">
        <f t="shared" si="0"/>
        <v>0</v>
      </c>
      <c r="G32" s="200">
        <f t="shared" si="1"/>
        <v>0</v>
      </c>
      <c r="H32" s="200">
        <f t="shared" si="2"/>
        <v>0</v>
      </c>
      <c r="I32" s="125"/>
      <c r="J32" s="125"/>
    </row>
    <row r="33" spans="1:10" s="124" customFormat="1" ht="19.5" hidden="1" customHeight="1">
      <c r="A33" s="165">
        <v>22</v>
      </c>
      <c r="B33" s="131"/>
      <c r="C33" s="131"/>
      <c r="D33" s="131"/>
      <c r="E33" s="199">
        <f>IFERROR(VLOOKUP(B33,DATA!$A$2:$C$200,3,0),0)</f>
        <v>0</v>
      </c>
      <c r="F33" s="200">
        <f t="shared" si="0"/>
        <v>0</v>
      </c>
      <c r="G33" s="200">
        <f t="shared" si="1"/>
        <v>0</v>
      </c>
      <c r="H33" s="200">
        <f t="shared" si="2"/>
        <v>0</v>
      </c>
      <c r="I33" s="125"/>
      <c r="J33" s="125"/>
    </row>
    <row r="34" spans="1:10" s="124" customFormat="1" ht="19.5" hidden="1" customHeight="1">
      <c r="A34" s="165">
        <v>23</v>
      </c>
      <c r="B34" s="131"/>
      <c r="C34" s="131"/>
      <c r="D34" s="131"/>
      <c r="E34" s="199">
        <f>IFERROR(VLOOKUP(B34,DATA!$A$2:$C$200,3,0),0)</f>
        <v>0</v>
      </c>
      <c r="F34" s="200">
        <f t="shared" si="0"/>
        <v>0</v>
      </c>
      <c r="G34" s="200">
        <f t="shared" si="1"/>
        <v>0</v>
      </c>
      <c r="H34" s="200">
        <f t="shared" si="2"/>
        <v>0</v>
      </c>
      <c r="I34" s="125"/>
      <c r="J34" s="125"/>
    </row>
    <row r="35" spans="1:10" s="124" customFormat="1" ht="19.5" hidden="1" customHeight="1">
      <c r="A35" s="165">
        <v>24</v>
      </c>
      <c r="B35" s="131"/>
      <c r="C35" s="131"/>
      <c r="D35" s="131"/>
      <c r="E35" s="199">
        <f>IFERROR(VLOOKUP(B35,DATA!$A$2:$C$200,3,0),0)</f>
        <v>0</v>
      </c>
      <c r="F35" s="200">
        <f t="shared" si="0"/>
        <v>0</v>
      </c>
      <c r="G35" s="200">
        <f t="shared" si="1"/>
        <v>0</v>
      </c>
      <c r="H35" s="200">
        <f t="shared" si="2"/>
        <v>0</v>
      </c>
      <c r="I35" s="125"/>
      <c r="J35" s="125"/>
    </row>
    <row r="36" spans="1:10" s="124" customFormat="1" ht="19.5" hidden="1" customHeight="1">
      <c r="A36" s="165">
        <v>25</v>
      </c>
      <c r="B36" s="131"/>
      <c r="C36" s="131"/>
      <c r="D36" s="131"/>
      <c r="E36" s="199">
        <f>IFERROR(VLOOKUP(B36,DATA!$A$2:$C$200,3,0),0)</f>
        <v>0</v>
      </c>
      <c r="F36" s="200">
        <f t="shared" si="0"/>
        <v>0</v>
      </c>
      <c r="G36" s="200">
        <f t="shared" si="1"/>
        <v>0</v>
      </c>
      <c r="H36" s="200">
        <f t="shared" si="2"/>
        <v>0</v>
      </c>
      <c r="I36" s="125"/>
      <c r="J36" s="125"/>
    </row>
    <row r="37" spans="1:10" s="124" customFormat="1" ht="19.5" hidden="1" customHeight="1">
      <c r="A37" s="165">
        <v>26</v>
      </c>
      <c r="B37" s="131"/>
      <c r="C37" s="131"/>
      <c r="D37" s="131"/>
      <c r="E37" s="199">
        <f>IFERROR(VLOOKUP(B37,DATA!$A$2:$C$200,3,0),0)</f>
        <v>0</v>
      </c>
      <c r="F37" s="200">
        <f t="shared" si="0"/>
        <v>0</v>
      </c>
      <c r="G37" s="200">
        <f t="shared" si="1"/>
        <v>0</v>
      </c>
      <c r="H37" s="200">
        <f t="shared" si="2"/>
        <v>0</v>
      </c>
      <c r="I37" s="125"/>
      <c r="J37" s="125"/>
    </row>
    <row r="38" spans="1:10" s="124" customFormat="1" ht="19.5" hidden="1" customHeight="1">
      <c r="A38" s="165">
        <v>27</v>
      </c>
      <c r="B38" s="131"/>
      <c r="C38" s="131"/>
      <c r="D38" s="131"/>
      <c r="E38" s="199">
        <f>IFERROR(VLOOKUP(B38,DATA!$A$2:$C$200,3,0),0)</f>
        <v>0</v>
      </c>
      <c r="F38" s="200">
        <f t="shared" si="0"/>
        <v>0</v>
      </c>
      <c r="G38" s="200">
        <f t="shared" si="1"/>
        <v>0</v>
      </c>
      <c r="H38" s="200">
        <f t="shared" si="2"/>
        <v>0</v>
      </c>
      <c r="I38" s="125"/>
      <c r="J38" s="125"/>
    </row>
    <row r="39" spans="1:10" s="124" customFormat="1" ht="19.5" hidden="1" customHeight="1">
      <c r="A39" s="165">
        <v>28</v>
      </c>
      <c r="B39" s="131"/>
      <c r="C39" s="131"/>
      <c r="D39" s="131"/>
      <c r="E39" s="199">
        <f>IFERROR(VLOOKUP(B39,DATA!$A$2:$C$200,3,0),0)</f>
        <v>0</v>
      </c>
      <c r="F39" s="200">
        <f t="shared" si="0"/>
        <v>0</v>
      </c>
      <c r="G39" s="200">
        <f t="shared" si="1"/>
        <v>0</v>
      </c>
      <c r="H39" s="200">
        <f t="shared" si="2"/>
        <v>0</v>
      </c>
      <c r="I39" s="125"/>
      <c r="J39" s="125"/>
    </row>
    <row r="40" spans="1:10" s="124" customFormat="1" ht="19.5" hidden="1" customHeight="1">
      <c r="A40" s="165">
        <v>29</v>
      </c>
      <c r="B40" s="131"/>
      <c r="C40" s="131"/>
      <c r="D40" s="131"/>
      <c r="E40" s="199">
        <f>IFERROR(VLOOKUP(B40,DATA!$A$2:$C$200,3,0),0)</f>
        <v>0</v>
      </c>
      <c r="F40" s="200">
        <f t="shared" si="0"/>
        <v>0</v>
      </c>
      <c r="G40" s="200">
        <f t="shared" si="1"/>
        <v>0</v>
      </c>
      <c r="H40" s="200">
        <f t="shared" si="2"/>
        <v>0</v>
      </c>
      <c r="I40" s="125"/>
      <c r="J40" s="125"/>
    </row>
    <row r="41" spans="1:10" s="124" customFormat="1" ht="19.5" hidden="1" customHeight="1">
      <c r="A41" s="165">
        <v>30</v>
      </c>
      <c r="B41" s="131"/>
      <c r="C41" s="131"/>
      <c r="D41" s="131"/>
      <c r="E41" s="199">
        <f>IFERROR(VLOOKUP(B41,DATA!$A$2:$C$200,3,0),0)</f>
        <v>0</v>
      </c>
      <c r="F41" s="200">
        <f t="shared" si="0"/>
        <v>0</v>
      </c>
      <c r="G41" s="200">
        <f t="shared" si="1"/>
        <v>0</v>
      </c>
      <c r="H41" s="200">
        <f t="shared" si="2"/>
        <v>0</v>
      </c>
      <c r="I41" s="125"/>
      <c r="J41" s="125"/>
    </row>
    <row r="42" spans="1:10" s="124" customFormat="1" ht="19.5" hidden="1" customHeight="1">
      <c r="A42" s="165">
        <v>31</v>
      </c>
      <c r="B42" s="131"/>
      <c r="C42" s="131"/>
      <c r="D42" s="132"/>
      <c r="E42" s="199">
        <f>IFERROR(VLOOKUP(B42,DATA!$A$2:$C$200,3,0),0)</f>
        <v>0</v>
      </c>
      <c r="F42" s="200">
        <f t="shared" si="0"/>
        <v>0</v>
      </c>
      <c r="G42" s="200">
        <f t="shared" si="1"/>
        <v>0</v>
      </c>
      <c r="H42" s="200">
        <f t="shared" si="2"/>
        <v>0</v>
      </c>
      <c r="I42" s="125"/>
      <c r="J42" s="125"/>
    </row>
    <row r="43" spans="1:10" s="124" customFormat="1" ht="19.5" hidden="1" customHeight="1">
      <c r="A43" s="165">
        <v>32</v>
      </c>
      <c r="B43" s="131"/>
      <c r="C43" s="131"/>
      <c r="D43" s="132"/>
      <c r="E43" s="199">
        <f>IFERROR(VLOOKUP(B43,DATA!$A$2:$C$200,3,0),0)</f>
        <v>0</v>
      </c>
      <c r="F43" s="200">
        <f t="shared" si="0"/>
        <v>0</v>
      </c>
      <c r="G43" s="200">
        <f t="shared" si="1"/>
        <v>0</v>
      </c>
      <c r="H43" s="200">
        <f t="shared" si="2"/>
        <v>0</v>
      </c>
      <c r="I43" s="125"/>
      <c r="J43" s="125"/>
    </row>
    <row r="44" spans="1:10" s="124" customFormat="1" ht="19.5" hidden="1" customHeight="1">
      <c r="A44" s="165">
        <v>33</v>
      </c>
      <c r="B44" s="131"/>
      <c r="C44" s="131"/>
      <c r="D44" s="153"/>
      <c r="E44" s="199">
        <f>IFERROR(VLOOKUP(B44,DATA!$A$2:$C$200,3,0),0)</f>
        <v>0</v>
      </c>
      <c r="F44" s="200">
        <f t="shared" si="0"/>
        <v>0</v>
      </c>
      <c r="G44" s="200">
        <f t="shared" si="1"/>
        <v>0</v>
      </c>
      <c r="H44" s="200">
        <f t="shared" si="2"/>
        <v>0</v>
      </c>
      <c r="I44" s="125"/>
      <c r="J44" s="125"/>
    </row>
    <row r="45" spans="1:10" s="124" customFormat="1" ht="19.5" hidden="1" customHeight="1">
      <c r="A45" s="165">
        <v>34</v>
      </c>
      <c r="B45" s="131"/>
      <c r="C45" s="131"/>
      <c r="D45" s="131"/>
      <c r="E45" s="199">
        <f>IFERROR(VLOOKUP(B45,DATA!$A$2:$C$200,3,0),0)</f>
        <v>0</v>
      </c>
      <c r="F45" s="200">
        <f t="shared" si="0"/>
        <v>0</v>
      </c>
      <c r="G45" s="200">
        <f t="shared" si="1"/>
        <v>0</v>
      </c>
      <c r="H45" s="200">
        <f t="shared" si="2"/>
        <v>0</v>
      </c>
      <c r="I45" s="125"/>
      <c r="J45" s="125"/>
    </row>
    <row r="46" spans="1:10" s="124" customFormat="1" ht="19.5" hidden="1" customHeight="1">
      <c r="A46" s="165">
        <v>35</v>
      </c>
      <c r="B46" s="131"/>
      <c r="C46" s="131"/>
      <c r="D46" s="131"/>
      <c r="E46" s="199">
        <f>IFERROR(VLOOKUP(B46,DATA!$A$2:$C$200,3,0),0)</f>
        <v>0</v>
      </c>
      <c r="F46" s="200">
        <f t="shared" si="0"/>
        <v>0</v>
      </c>
      <c r="G46" s="200">
        <f t="shared" si="1"/>
        <v>0</v>
      </c>
      <c r="H46" s="200">
        <f t="shared" si="2"/>
        <v>0</v>
      </c>
      <c r="I46" s="125"/>
      <c r="J46" s="125"/>
    </row>
    <row r="47" spans="1:10" s="124" customFormat="1" ht="19.5" hidden="1" customHeight="1">
      <c r="A47" s="165">
        <v>36</v>
      </c>
      <c r="B47" s="131"/>
      <c r="C47" s="131"/>
      <c r="D47" s="131"/>
      <c r="E47" s="199">
        <f>IFERROR(VLOOKUP(B47,DATA!$A$2:$C$200,3,0),0)</f>
        <v>0</v>
      </c>
      <c r="F47" s="200">
        <f t="shared" si="0"/>
        <v>0</v>
      </c>
      <c r="G47" s="200">
        <f t="shared" si="1"/>
        <v>0</v>
      </c>
      <c r="H47" s="200">
        <f t="shared" si="2"/>
        <v>0</v>
      </c>
      <c r="I47" s="125"/>
      <c r="J47" s="125"/>
    </row>
    <row r="48" spans="1:10" s="124" customFormat="1" ht="19.5" hidden="1" customHeight="1">
      <c r="A48" s="165">
        <v>37</v>
      </c>
      <c r="B48" s="131"/>
      <c r="C48" s="131"/>
      <c r="D48" s="131"/>
      <c r="E48" s="199">
        <f>IFERROR(VLOOKUP(B48,DATA!$A$2:$C$200,3,0),0)</f>
        <v>0</v>
      </c>
      <c r="F48" s="200">
        <f t="shared" si="0"/>
        <v>0</v>
      </c>
      <c r="G48" s="200">
        <f t="shared" si="1"/>
        <v>0</v>
      </c>
      <c r="H48" s="200">
        <f t="shared" si="2"/>
        <v>0</v>
      </c>
      <c r="I48" s="125"/>
      <c r="J48" s="125"/>
    </row>
    <row r="49" spans="1:244" s="124" customFormat="1" ht="19.5" hidden="1" customHeight="1">
      <c r="A49" s="165">
        <v>38</v>
      </c>
      <c r="B49" s="131"/>
      <c r="C49" s="131"/>
      <c r="D49" s="131"/>
      <c r="E49" s="199">
        <f>IFERROR(VLOOKUP(B49,DATA!$A$2:$C$200,3,0),0)</f>
        <v>0</v>
      </c>
      <c r="F49" s="200">
        <f t="shared" si="0"/>
        <v>0</v>
      </c>
      <c r="G49" s="200">
        <f t="shared" si="1"/>
        <v>0</v>
      </c>
      <c r="H49" s="200">
        <f t="shared" si="2"/>
        <v>0</v>
      </c>
      <c r="I49" s="125"/>
      <c r="J49" s="125"/>
    </row>
    <row r="50" spans="1:244" s="124" customFormat="1" ht="19.5" hidden="1" customHeight="1">
      <c r="A50" s="165">
        <v>39</v>
      </c>
      <c r="B50" s="131"/>
      <c r="C50" s="131"/>
      <c r="D50" s="131"/>
      <c r="E50" s="199">
        <f>IFERROR(VLOOKUP(B50,DATA!$A$2:$C$200,3,0),0)</f>
        <v>0</v>
      </c>
      <c r="F50" s="200">
        <f t="shared" si="0"/>
        <v>0</v>
      </c>
      <c r="G50" s="200">
        <f t="shared" si="1"/>
        <v>0</v>
      </c>
      <c r="H50" s="200">
        <f t="shared" si="2"/>
        <v>0</v>
      </c>
      <c r="I50" s="125"/>
      <c r="J50" s="125"/>
    </row>
    <row r="51" spans="1:244" s="124" customFormat="1" ht="19.5" hidden="1" customHeight="1">
      <c r="A51" s="165">
        <v>40</v>
      </c>
      <c r="B51" s="131"/>
      <c r="C51" s="131"/>
      <c r="D51" s="131"/>
      <c r="E51" s="199">
        <f>IFERROR(VLOOKUP(B51,DATA!$A$2:$C$200,3,0),0)</f>
        <v>0</v>
      </c>
      <c r="F51" s="200">
        <f t="shared" si="0"/>
        <v>0</v>
      </c>
      <c r="G51" s="200">
        <f t="shared" si="1"/>
        <v>0</v>
      </c>
      <c r="H51" s="200">
        <f t="shared" si="2"/>
        <v>0</v>
      </c>
      <c r="I51" s="125"/>
      <c r="J51" s="125"/>
    </row>
    <row r="52" spans="1:244" s="124" customFormat="1" ht="19.5" hidden="1" customHeight="1">
      <c r="A52" s="165">
        <v>41</v>
      </c>
      <c r="B52" s="131"/>
      <c r="C52" s="131"/>
      <c r="D52" s="131"/>
      <c r="E52" s="199">
        <f>IFERROR(VLOOKUP(B52,DATA!$A$2:$C$200,3,0),0)</f>
        <v>0</v>
      </c>
      <c r="F52" s="200">
        <f t="shared" si="0"/>
        <v>0</v>
      </c>
      <c r="G52" s="200">
        <f t="shared" si="1"/>
        <v>0</v>
      </c>
      <c r="H52" s="200">
        <f t="shared" si="2"/>
        <v>0</v>
      </c>
      <c r="I52" s="125"/>
      <c r="J52" s="125"/>
    </row>
    <row r="53" spans="1:244" s="124" customFormat="1" ht="19.5" hidden="1" customHeight="1">
      <c r="A53" s="165">
        <v>42</v>
      </c>
      <c r="B53" s="131"/>
      <c r="C53" s="131"/>
      <c r="D53" s="131"/>
      <c r="E53" s="199">
        <f>IFERROR(VLOOKUP(B53,DATA!$A$2:$C$200,3,0),0)</f>
        <v>0</v>
      </c>
      <c r="F53" s="200">
        <f t="shared" si="0"/>
        <v>0</v>
      </c>
      <c r="G53" s="200">
        <f t="shared" si="1"/>
        <v>0</v>
      </c>
      <c r="H53" s="200">
        <f t="shared" si="2"/>
        <v>0</v>
      </c>
      <c r="I53" s="125"/>
      <c r="J53" s="125"/>
    </row>
    <row r="54" spans="1:244" s="124" customFormat="1" ht="19.5" hidden="1" customHeight="1">
      <c r="A54" s="165">
        <v>43</v>
      </c>
      <c r="B54" s="131"/>
      <c r="C54" s="131"/>
      <c r="D54" s="131"/>
      <c r="E54" s="199">
        <f>IFERROR(VLOOKUP(B54,DATA!$A$2:$C$200,3,0),0)</f>
        <v>0</v>
      </c>
      <c r="F54" s="200">
        <f t="shared" si="0"/>
        <v>0</v>
      </c>
      <c r="G54" s="200">
        <f t="shared" si="1"/>
        <v>0</v>
      </c>
      <c r="H54" s="200">
        <f t="shared" si="2"/>
        <v>0</v>
      </c>
      <c r="I54" s="125"/>
      <c r="J54" s="125"/>
    </row>
    <row r="55" spans="1:244" s="124" customFormat="1" ht="19.5" hidden="1" customHeight="1">
      <c r="A55" s="165">
        <v>44</v>
      </c>
      <c r="B55" s="131"/>
      <c r="C55" s="131"/>
      <c r="D55" s="131"/>
      <c r="E55" s="199">
        <f>IFERROR(VLOOKUP(B55,DATA!$A$2:$C$200,3,0),0)</f>
        <v>0</v>
      </c>
      <c r="F55" s="200">
        <f t="shared" si="0"/>
        <v>0</v>
      </c>
      <c r="G55" s="200">
        <f t="shared" si="1"/>
        <v>0</v>
      </c>
      <c r="H55" s="200">
        <f t="shared" si="2"/>
        <v>0</v>
      </c>
      <c r="I55" s="125"/>
      <c r="J55" s="125"/>
    </row>
    <row r="56" spans="1:244" ht="19.5" hidden="1" customHeight="1">
      <c r="A56" s="165">
        <v>45</v>
      </c>
      <c r="B56" s="131"/>
      <c r="C56" s="131"/>
      <c r="D56" s="131"/>
      <c r="E56" s="199">
        <f>IFERROR(VLOOKUP(B56,DATA!$A$2:$C$200,3,0),0)</f>
        <v>0</v>
      </c>
      <c r="F56" s="200">
        <f t="shared" si="0"/>
        <v>0</v>
      </c>
      <c r="G56" s="200">
        <f t="shared" si="1"/>
        <v>0</v>
      </c>
      <c r="H56" s="200">
        <f t="shared" si="2"/>
        <v>0</v>
      </c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</row>
    <row r="57" spans="1:244" ht="19.5" hidden="1" customHeight="1">
      <c r="A57" s="165">
        <v>46</v>
      </c>
      <c r="B57" s="131"/>
      <c r="C57" s="131"/>
      <c r="D57" s="131"/>
      <c r="E57" s="199">
        <f>IFERROR(VLOOKUP(B57,DATA!$A$2:$C$200,3,0),0)</f>
        <v>0</v>
      </c>
      <c r="F57" s="200">
        <f t="shared" si="0"/>
        <v>0</v>
      </c>
      <c r="G57" s="200">
        <f t="shared" si="1"/>
        <v>0</v>
      </c>
      <c r="H57" s="200">
        <f t="shared" si="2"/>
        <v>0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</row>
    <row r="58" spans="1:244" ht="19.5" hidden="1" customHeight="1">
      <c r="A58" s="165">
        <v>47</v>
      </c>
      <c r="B58" s="131"/>
      <c r="C58" s="131"/>
      <c r="D58" s="131"/>
      <c r="E58" s="199">
        <f>IFERROR(VLOOKUP(B58,DATA!$A$2:$C$200,3,0),0)</f>
        <v>0</v>
      </c>
      <c r="F58" s="200">
        <f t="shared" si="0"/>
        <v>0</v>
      </c>
      <c r="G58" s="200">
        <f t="shared" si="1"/>
        <v>0</v>
      </c>
      <c r="H58" s="200">
        <f t="shared" si="2"/>
        <v>0</v>
      </c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</row>
    <row r="59" spans="1:244" ht="19.5" hidden="1" customHeight="1">
      <c r="A59" s="165">
        <v>48</v>
      </c>
      <c r="B59" s="131"/>
      <c r="C59" s="131"/>
      <c r="D59" s="131"/>
      <c r="E59" s="199">
        <f>IFERROR(VLOOKUP(B59,DATA!$A$2:$C$200,3,0),0)</f>
        <v>0</v>
      </c>
      <c r="F59" s="200">
        <f t="shared" si="0"/>
        <v>0</v>
      </c>
      <c r="G59" s="200">
        <f t="shared" si="1"/>
        <v>0</v>
      </c>
      <c r="H59" s="200">
        <f t="shared" si="2"/>
        <v>0</v>
      </c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</row>
    <row r="60" spans="1:244" ht="19.5" hidden="1" customHeight="1">
      <c r="A60" s="165">
        <v>49</v>
      </c>
      <c r="B60" s="131"/>
      <c r="C60" s="131"/>
      <c r="D60" s="131"/>
      <c r="E60" s="199">
        <f>IFERROR(VLOOKUP(B60,DATA!$A$2:$C$200,3,0),0)</f>
        <v>0</v>
      </c>
      <c r="F60" s="200">
        <f t="shared" si="0"/>
        <v>0</v>
      </c>
      <c r="G60" s="200">
        <f t="shared" si="1"/>
        <v>0</v>
      </c>
      <c r="H60" s="200">
        <f t="shared" si="2"/>
        <v>0</v>
      </c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</row>
    <row r="61" spans="1:244" ht="19.5" hidden="1" customHeight="1">
      <c r="A61" s="165">
        <v>50</v>
      </c>
      <c r="B61" s="131"/>
      <c r="C61" s="131"/>
      <c r="D61" s="131"/>
      <c r="E61" s="199">
        <f>IFERROR(VLOOKUP(B61,DATA!$A$2:$C$200,3,0),0)</f>
        <v>0</v>
      </c>
      <c r="F61" s="200">
        <f t="shared" si="0"/>
        <v>0</v>
      </c>
      <c r="G61" s="200">
        <f t="shared" si="1"/>
        <v>0</v>
      </c>
      <c r="H61" s="200">
        <f t="shared" si="2"/>
        <v>0</v>
      </c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</row>
    <row r="62" spans="1:244" ht="19.5" hidden="1" customHeight="1">
      <c r="A62" s="165">
        <v>51</v>
      </c>
      <c r="B62" s="131"/>
      <c r="C62" s="131"/>
      <c r="D62" s="131"/>
      <c r="E62" s="199">
        <f>IFERROR(VLOOKUP(B62,DATA!$A$2:$C$200,3,0),0)</f>
        <v>0</v>
      </c>
      <c r="F62" s="200">
        <f t="shared" si="0"/>
        <v>0</v>
      </c>
      <c r="G62" s="200">
        <f t="shared" si="1"/>
        <v>0</v>
      </c>
      <c r="H62" s="200">
        <f t="shared" si="2"/>
        <v>0</v>
      </c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</row>
    <row r="63" spans="1:244" ht="19.5" hidden="1" customHeight="1">
      <c r="A63" s="165">
        <v>52</v>
      </c>
      <c r="B63" s="132"/>
      <c r="C63" s="132"/>
      <c r="D63" s="132"/>
      <c r="E63" s="199">
        <f>IFERROR(VLOOKUP(B63,DATA!$A$2:$C$200,3,0),0)</f>
        <v>0</v>
      </c>
      <c r="F63" s="200">
        <f t="shared" si="0"/>
        <v>0</v>
      </c>
      <c r="G63" s="200">
        <f t="shared" si="1"/>
        <v>0</v>
      </c>
      <c r="H63" s="200">
        <f t="shared" si="2"/>
        <v>0</v>
      </c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</row>
    <row r="64" spans="1:244" s="124" customFormat="1" ht="19.5" hidden="1" customHeight="1">
      <c r="A64" s="165">
        <v>53</v>
      </c>
      <c r="B64" s="153"/>
      <c r="C64" s="153"/>
      <c r="D64" s="153"/>
      <c r="E64" s="199">
        <f>IFERROR(VLOOKUP(B64,DATA!$A$2:$C$200,3,0),0)</f>
        <v>0</v>
      </c>
      <c r="F64" s="200">
        <f t="shared" si="0"/>
        <v>0</v>
      </c>
      <c r="G64" s="200">
        <f t="shared" si="1"/>
        <v>0</v>
      </c>
      <c r="H64" s="200">
        <f t="shared" si="2"/>
        <v>0</v>
      </c>
      <c r="I64" s="125"/>
      <c r="J64" s="125"/>
    </row>
    <row r="65" spans="1:10" s="124" customFormat="1" ht="19.5" hidden="1" customHeight="1">
      <c r="A65" s="165">
        <v>54</v>
      </c>
      <c r="B65" s="153"/>
      <c r="C65" s="153"/>
      <c r="D65" s="153"/>
      <c r="E65" s="199">
        <f>IFERROR(VLOOKUP(B65,DATA!$A$2:$C$200,3,0),0)</f>
        <v>0</v>
      </c>
      <c r="F65" s="200">
        <f t="shared" si="0"/>
        <v>0</v>
      </c>
      <c r="G65" s="200">
        <f t="shared" si="1"/>
        <v>0</v>
      </c>
      <c r="H65" s="200">
        <f t="shared" si="2"/>
        <v>0</v>
      </c>
      <c r="I65" s="125"/>
      <c r="J65" s="125"/>
    </row>
    <row r="66" spans="1:10" s="124" customFormat="1" ht="19.5" hidden="1" customHeight="1">
      <c r="A66" s="165">
        <v>55</v>
      </c>
      <c r="B66" s="153"/>
      <c r="C66" s="153"/>
      <c r="D66" s="153"/>
      <c r="E66" s="199">
        <f>IFERROR(VLOOKUP(B66,DATA!$A$2:$C$200,3,0),0)</f>
        <v>0</v>
      </c>
      <c r="F66" s="200">
        <f t="shared" si="0"/>
        <v>0</v>
      </c>
      <c r="G66" s="200">
        <f t="shared" si="1"/>
        <v>0</v>
      </c>
      <c r="H66" s="200">
        <f t="shared" si="2"/>
        <v>0</v>
      </c>
      <c r="I66" s="125"/>
      <c r="J66" s="125"/>
    </row>
    <row r="67" spans="1:10" s="124" customFormat="1" ht="19.5" hidden="1" customHeight="1">
      <c r="A67" s="165">
        <v>56</v>
      </c>
      <c r="B67" s="153"/>
      <c r="C67" s="153"/>
      <c r="D67" s="153"/>
      <c r="E67" s="199">
        <f>IFERROR(VLOOKUP(B67,DATA!$A$2:$C$200,3,0),0)</f>
        <v>0</v>
      </c>
      <c r="F67" s="200">
        <f t="shared" si="0"/>
        <v>0</v>
      </c>
      <c r="G67" s="200">
        <f t="shared" si="1"/>
        <v>0</v>
      </c>
      <c r="H67" s="200">
        <f t="shared" si="2"/>
        <v>0</v>
      </c>
      <c r="I67" s="125"/>
      <c r="J67" s="125"/>
    </row>
    <row r="68" spans="1:10" s="124" customFormat="1" ht="19.5" hidden="1" customHeight="1">
      <c r="A68" s="165">
        <v>57</v>
      </c>
      <c r="B68" s="153"/>
      <c r="C68" s="153"/>
      <c r="D68" s="153"/>
      <c r="E68" s="199">
        <f>IFERROR(VLOOKUP(B68,DATA!$A$2:$C$200,3,0),0)</f>
        <v>0</v>
      </c>
      <c r="F68" s="200">
        <f t="shared" si="0"/>
        <v>0</v>
      </c>
      <c r="G68" s="200">
        <f t="shared" si="1"/>
        <v>0</v>
      </c>
      <c r="H68" s="200">
        <f t="shared" si="2"/>
        <v>0</v>
      </c>
      <c r="I68" s="125"/>
      <c r="J68" s="125"/>
    </row>
    <row r="69" spans="1:10" s="124" customFormat="1" ht="19.5" hidden="1" customHeight="1">
      <c r="A69" s="165">
        <v>58</v>
      </c>
      <c r="B69" s="153"/>
      <c r="C69" s="153"/>
      <c r="D69" s="153"/>
      <c r="E69" s="199">
        <f>IFERROR(VLOOKUP(B69,DATA!$A$2:$C$200,3,0),0)</f>
        <v>0</v>
      </c>
      <c r="F69" s="200">
        <f t="shared" si="0"/>
        <v>0</v>
      </c>
      <c r="G69" s="200">
        <f t="shared" si="1"/>
        <v>0</v>
      </c>
      <c r="H69" s="200">
        <f t="shared" si="2"/>
        <v>0</v>
      </c>
      <c r="I69" s="125"/>
      <c r="J69" s="125"/>
    </row>
    <row r="70" spans="1:10" s="124" customFormat="1" ht="19.5" hidden="1" customHeight="1">
      <c r="A70" s="165">
        <v>59</v>
      </c>
      <c r="B70" s="153"/>
      <c r="C70" s="153"/>
      <c r="D70" s="153"/>
      <c r="E70" s="199">
        <f>IFERROR(VLOOKUP(B70,DATA!$A$2:$C$200,3,0),0)</f>
        <v>0</v>
      </c>
      <c r="F70" s="200">
        <f t="shared" si="0"/>
        <v>0</v>
      </c>
      <c r="G70" s="200">
        <f t="shared" si="1"/>
        <v>0</v>
      </c>
      <c r="H70" s="200">
        <f t="shared" si="2"/>
        <v>0</v>
      </c>
      <c r="I70" s="125"/>
      <c r="J70" s="125"/>
    </row>
    <row r="71" spans="1:10" s="124" customFormat="1" ht="19.5" hidden="1" customHeight="1">
      <c r="A71" s="165">
        <v>60</v>
      </c>
      <c r="B71" s="153"/>
      <c r="C71" s="153"/>
      <c r="D71" s="153"/>
      <c r="E71" s="199">
        <f>IFERROR(VLOOKUP(B71,DATA!$A$2:$C$200,3,0),0)</f>
        <v>0</v>
      </c>
      <c r="F71" s="200">
        <f t="shared" si="0"/>
        <v>0</v>
      </c>
      <c r="G71" s="200">
        <f t="shared" si="1"/>
        <v>0</v>
      </c>
      <c r="H71" s="200">
        <f t="shared" si="2"/>
        <v>0</v>
      </c>
      <c r="I71" s="125"/>
      <c r="J71" s="125"/>
    </row>
    <row r="72" spans="1:10" s="124" customFormat="1" ht="19.5" hidden="1" customHeight="1">
      <c r="A72" s="165">
        <v>61</v>
      </c>
      <c r="B72" s="153"/>
      <c r="C72" s="153"/>
      <c r="D72" s="153"/>
      <c r="E72" s="199">
        <f>IFERROR(VLOOKUP(B72,DATA!$A$2:$C$200,3,0),0)</f>
        <v>0</v>
      </c>
      <c r="F72" s="200">
        <f t="shared" si="0"/>
        <v>0</v>
      </c>
      <c r="G72" s="200">
        <f t="shared" si="1"/>
        <v>0</v>
      </c>
      <c r="H72" s="200">
        <f t="shared" si="2"/>
        <v>0</v>
      </c>
      <c r="I72" s="125"/>
      <c r="J72" s="125"/>
    </row>
    <row r="73" spans="1:10" s="124" customFormat="1" ht="19.5" hidden="1" customHeight="1">
      <c r="A73" s="165">
        <v>62</v>
      </c>
      <c r="B73" s="153"/>
      <c r="C73" s="153"/>
      <c r="D73" s="153"/>
      <c r="E73" s="199">
        <f>IFERROR(VLOOKUP(B73,DATA!$A$2:$C$200,3,0),0)</f>
        <v>0</v>
      </c>
      <c r="F73" s="200">
        <f t="shared" si="0"/>
        <v>0</v>
      </c>
      <c r="G73" s="200">
        <f t="shared" si="1"/>
        <v>0</v>
      </c>
      <c r="H73" s="200">
        <f t="shared" si="2"/>
        <v>0</v>
      </c>
      <c r="I73" s="125"/>
      <c r="J73" s="125"/>
    </row>
    <row r="74" spans="1:10" s="124" customFormat="1" ht="19.5" hidden="1" customHeight="1">
      <c r="A74" s="165">
        <v>63</v>
      </c>
      <c r="B74" s="153"/>
      <c r="C74" s="153"/>
      <c r="D74" s="153"/>
      <c r="E74" s="199">
        <f>IFERROR(VLOOKUP(B74,DATA!$A$2:$C$200,3,0),0)</f>
        <v>0</v>
      </c>
      <c r="F74" s="200">
        <f t="shared" si="0"/>
        <v>0</v>
      </c>
      <c r="G74" s="200">
        <f t="shared" si="1"/>
        <v>0</v>
      </c>
      <c r="H74" s="200">
        <f t="shared" si="2"/>
        <v>0</v>
      </c>
      <c r="I74" s="125"/>
      <c r="J74" s="125"/>
    </row>
    <row r="75" spans="1:10" s="124" customFormat="1" ht="19.5" hidden="1" customHeight="1">
      <c r="A75" s="165">
        <v>64</v>
      </c>
      <c r="B75" s="153"/>
      <c r="C75" s="153"/>
      <c r="D75" s="153"/>
      <c r="E75" s="199">
        <f>IFERROR(VLOOKUP(B75,DATA!$A$2:$C$200,3,0),0)</f>
        <v>0</v>
      </c>
      <c r="F75" s="200">
        <f t="shared" si="0"/>
        <v>0</v>
      </c>
      <c r="G75" s="200">
        <f t="shared" si="1"/>
        <v>0</v>
      </c>
      <c r="H75" s="200">
        <f t="shared" si="2"/>
        <v>0</v>
      </c>
      <c r="I75" s="125"/>
      <c r="J75" s="125"/>
    </row>
    <row r="76" spans="1:10" s="124" customFormat="1" ht="19.5" hidden="1" customHeight="1">
      <c r="A76" s="165">
        <v>65</v>
      </c>
      <c r="B76" s="153"/>
      <c r="C76" s="153"/>
      <c r="D76" s="153"/>
      <c r="E76" s="199">
        <f>IFERROR(VLOOKUP(B76,DATA!$A$2:$C$200,3,0),0)</f>
        <v>0</v>
      </c>
      <c r="F76" s="200">
        <f t="shared" si="0"/>
        <v>0</v>
      </c>
      <c r="G76" s="200">
        <f t="shared" si="1"/>
        <v>0</v>
      </c>
      <c r="H76" s="200">
        <f t="shared" si="2"/>
        <v>0</v>
      </c>
      <c r="I76" s="125"/>
      <c r="J76" s="125"/>
    </row>
    <row r="77" spans="1:10" s="124" customFormat="1" ht="19.5" hidden="1" customHeight="1">
      <c r="A77" s="165">
        <v>66</v>
      </c>
      <c r="B77" s="153"/>
      <c r="C77" s="153"/>
      <c r="D77" s="153"/>
      <c r="E77" s="199">
        <f>IFERROR(VLOOKUP(B77,DATA!$A$2:$C$200,3,0),0)</f>
        <v>0</v>
      </c>
      <c r="F77" s="200">
        <f t="shared" ref="F77:F111" si="3">E77*D77</f>
        <v>0</v>
      </c>
      <c r="G77" s="200">
        <f t="shared" ref="G77:G111" si="4">F77*10%</f>
        <v>0</v>
      </c>
      <c r="H77" s="200">
        <f t="shared" ref="H77:H111" si="5">F77+G77</f>
        <v>0</v>
      </c>
      <c r="I77" s="125"/>
      <c r="J77" s="125"/>
    </row>
    <row r="78" spans="1:10" s="124" customFormat="1" ht="19.5" hidden="1" customHeight="1">
      <c r="A78" s="165">
        <v>67</v>
      </c>
      <c r="B78" s="153"/>
      <c r="C78" s="153"/>
      <c r="D78" s="153"/>
      <c r="E78" s="199">
        <f>IFERROR(VLOOKUP(B78,DATA!$A$2:$C$200,3,0),0)</f>
        <v>0</v>
      </c>
      <c r="F78" s="200">
        <f t="shared" si="3"/>
        <v>0</v>
      </c>
      <c r="G78" s="200">
        <f t="shared" si="4"/>
        <v>0</v>
      </c>
      <c r="H78" s="200">
        <f t="shared" si="5"/>
        <v>0</v>
      </c>
      <c r="I78" s="125"/>
      <c r="J78" s="125"/>
    </row>
    <row r="79" spans="1:10" s="124" customFormat="1" ht="19.5" hidden="1" customHeight="1">
      <c r="A79" s="167">
        <v>68</v>
      </c>
      <c r="B79" s="153"/>
      <c r="C79" s="153"/>
      <c r="D79" s="153"/>
      <c r="E79" s="199">
        <f>IFERROR(VLOOKUP(B79,DATA!$A$2:$C$200,3,0),0)</f>
        <v>0</v>
      </c>
      <c r="F79" s="200">
        <f t="shared" si="3"/>
        <v>0</v>
      </c>
      <c r="G79" s="200">
        <f t="shared" si="4"/>
        <v>0</v>
      </c>
      <c r="H79" s="200">
        <f t="shared" si="5"/>
        <v>0</v>
      </c>
      <c r="I79" s="125"/>
      <c r="J79" s="125"/>
    </row>
    <row r="80" spans="1:10" s="124" customFormat="1" ht="19.5" hidden="1" customHeight="1">
      <c r="A80" s="167">
        <v>69</v>
      </c>
      <c r="B80" s="153"/>
      <c r="C80" s="153"/>
      <c r="D80" s="153"/>
      <c r="E80" s="199">
        <f>IFERROR(VLOOKUP(B80,DATA!$A$2:$C$200,3,0),0)</f>
        <v>0</v>
      </c>
      <c r="F80" s="200">
        <f t="shared" si="3"/>
        <v>0</v>
      </c>
      <c r="G80" s="200">
        <f t="shared" si="4"/>
        <v>0</v>
      </c>
      <c r="H80" s="200">
        <f t="shared" si="5"/>
        <v>0</v>
      </c>
      <c r="I80" s="125"/>
      <c r="J80" s="125"/>
    </row>
    <row r="81" spans="1:10" s="124" customFormat="1" ht="19.5" hidden="1" customHeight="1">
      <c r="A81" s="167">
        <v>70</v>
      </c>
      <c r="B81" s="153"/>
      <c r="C81" s="153"/>
      <c r="D81" s="153"/>
      <c r="E81" s="199">
        <f>IFERROR(VLOOKUP(B81,DATA!$A$2:$C$200,3,0),0)</f>
        <v>0</v>
      </c>
      <c r="F81" s="200">
        <f t="shared" si="3"/>
        <v>0</v>
      </c>
      <c r="G81" s="200">
        <f t="shared" si="4"/>
        <v>0</v>
      </c>
      <c r="H81" s="200">
        <f t="shared" si="5"/>
        <v>0</v>
      </c>
      <c r="I81" s="125"/>
      <c r="J81" s="125"/>
    </row>
    <row r="82" spans="1:10" s="124" customFormat="1" ht="19.5" hidden="1" customHeight="1">
      <c r="A82" s="167">
        <v>71</v>
      </c>
      <c r="B82" s="153"/>
      <c r="C82" s="153"/>
      <c r="D82" s="153"/>
      <c r="E82" s="199">
        <f>IFERROR(VLOOKUP(B82,DATA!$A$2:$C$200,3,0),0)</f>
        <v>0</v>
      </c>
      <c r="F82" s="200">
        <f t="shared" si="3"/>
        <v>0</v>
      </c>
      <c r="G82" s="200">
        <f t="shared" si="4"/>
        <v>0</v>
      </c>
      <c r="H82" s="200">
        <f t="shared" si="5"/>
        <v>0</v>
      </c>
      <c r="I82" s="125"/>
      <c r="J82" s="125"/>
    </row>
    <row r="83" spans="1:10" s="124" customFormat="1" ht="19.5" hidden="1" customHeight="1">
      <c r="A83" s="167">
        <v>72</v>
      </c>
      <c r="B83" s="153"/>
      <c r="C83" s="153"/>
      <c r="D83" s="153"/>
      <c r="E83" s="199">
        <f>IFERROR(VLOOKUP(B83,DATA!$A$2:$C$200,3,0),0)</f>
        <v>0</v>
      </c>
      <c r="F83" s="200">
        <f t="shared" si="3"/>
        <v>0</v>
      </c>
      <c r="G83" s="200">
        <f t="shared" si="4"/>
        <v>0</v>
      </c>
      <c r="H83" s="200">
        <f t="shared" si="5"/>
        <v>0</v>
      </c>
      <c r="I83" s="125"/>
      <c r="J83" s="125"/>
    </row>
    <row r="84" spans="1:10" s="124" customFormat="1" ht="19.5" hidden="1" customHeight="1">
      <c r="A84" s="167">
        <v>73</v>
      </c>
      <c r="B84" s="153"/>
      <c r="C84" s="153"/>
      <c r="D84" s="153"/>
      <c r="E84" s="199">
        <f>IFERROR(VLOOKUP(B84,DATA!$A$2:$C$200,3,0),0)</f>
        <v>0</v>
      </c>
      <c r="F84" s="200">
        <f t="shared" si="3"/>
        <v>0</v>
      </c>
      <c r="G84" s="200">
        <f t="shared" si="4"/>
        <v>0</v>
      </c>
      <c r="H84" s="200">
        <f t="shared" si="5"/>
        <v>0</v>
      </c>
      <c r="I84" s="125"/>
      <c r="J84" s="125"/>
    </row>
    <row r="85" spans="1:10" s="124" customFormat="1" ht="19.5" hidden="1" customHeight="1">
      <c r="A85" s="167">
        <v>74</v>
      </c>
      <c r="B85" s="153"/>
      <c r="C85" s="153"/>
      <c r="D85" s="153"/>
      <c r="E85" s="199">
        <f>IFERROR(VLOOKUP(B85,DATA!$A$2:$C$200,3,0),0)</f>
        <v>0</v>
      </c>
      <c r="F85" s="200">
        <f t="shared" si="3"/>
        <v>0</v>
      </c>
      <c r="G85" s="200">
        <f t="shared" si="4"/>
        <v>0</v>
      </c>
      <c r="H85" s="200">
        <f t="shared" si="5"/>
        <v>0</v>
      </c>
      <c r="I85" s="125"/>
      <c r="J85" s="125"/>
    </row>
    <row r="86" spans="1:10" s="124" customFormat="1" ht="19.5" hidden="1" customHeight="1">
      <c r="A86" s="167">
        <v>75</v>
      </c>
      <c r="B86" s="153"/>
      <c r="C86" s="153"/>
      <c r="D86" s="153"/>
      <c r="E86" s="199">
        <f>IFERROR(VLOOKUP(B86,DATA!$A$2:$C$200,3,0),0)</f>
        <v>0</v>
      </c>
      <c r="F86" s="200">
        <f t="shared" si="3"/>
        <v>0</v>
      </c>
      <c r="G86" s="200">
        <f t="shared" si="4"/>
        <v>0</v>
      </c>
      <c r="H86" s="200">
        <f t="shared" si="5"/>
        <v>0</v>
      </c>
      <c r="I86" s="125"/>
      <c r="J86" s="125"/>
    </row>
    <row r="87" spans="1:10" s="124" customFormat="1" ht="19.5" hidden="1" customHeight="1">
      <c r="A87" s="167">
        <v>76</v>
      </c>
      <c r="B87" s="153"/>
      <c r="C87" s="153"/>
      <c r="D87" s="153"/>
      <c r="E87" s="199">
        <f>IFERROR(VLOOKUP(B87,DATA!$A$2:$C$200,3,0),0)</f>
        <v>0</v>
      </c>
      <c r="F87" s="200">
        <f t="shared" si="3"/>
        <v>0</v>
      </c>
      <c r="G87" s="200">
        <f t="shared" si="4"/>
        <v>0</v>
      </c>
      <c r="H87" s="200">
        <f t="shared" si="5"/>
        <v>0</v>
      </c>
      <c r="I87" s="125"/>
      <c r="J87" s="125"/>
    </row>
    <row r="88" spans="1:10" s="124" customFormat="1" ht="19.5" hidden="1" customHeight="1">
      <c r="A88" s="167">
        <v>77</v>
      </c>
      <c r="B88" s="153"/>
      <c r="C88" s="153"/>
      <c r="D88" s="153"/>
      <c r="E88" s="199">
        <f>IFERROR(VLOOKUP(B88,DATA!$A$2:$C$200,3,0),0)</f>
        <v>0</v>
      </c>
      <c r="F88" s="200">
        <f t="shared" si="3"/>
        <v>0</v>
      </c>
      <c r="G88" s="200">
        <f t="shared" si="4"/>
        <v>0</v>
      </c>
      <c r="H88" s="200">
        <f t="shared" si="5"/>
        <v>0</v>
      </c>
      <c r="I88" s="125"/>
      <c r="J88" s="125"/>
    </row>
    <row r="89" spans="1:10" s="124" customFormat="1" ht="19.5" hidden="1" customHeight="1">
      <c r="A89" s="167">
        <v>78</v>
      </c>
      <c r="B89" s="153"/>
      <c r="C89" s="153"/>
      <c r="D89" s="153"/>
      <c r="E89" s="199">
        <f>IFERROR(VLOOKUP(B89,DATA!$A$2:$C$200,3,0),0)</f>
        <v>0</v>
      </c>
      <c r="F89" s="200">
        <f t="shared" si="3"/>
        <v>0</v>
      </c>
      <c r="G89" s="200">
        <f t="shared" si="4"/>
        <v>0</v>
      </c>
      <c r="H89" s="200">
        <f t="shared" si="5"/>
        <v>0</v>
      </c>
      <c r="I89" s="125"/>
      <c r="J89" s="125"/>
    </row>
    <row r="90" spans="1:10" s="124" customFormat="1" ht="19.5" hidden="1" customHeight="1">
      <c r="A90" s="167">
        <v>79</v>
      </c>
      <c r="B90" s="153"/>
      <c r="C90" s="153"/>
      <c r="D90" s="153"/>
      <c r="E90" s="199">
        <f>IFERROR(VLOOKUP(B90,DATA!$A$2:$C$200,3,0),0)</f>
        <v>0</v>
      </c>
      <c r="F90" s="200">
        <f t="shared" si="3"/>
        <v>0</v>
      </c>
      <c r="G90" s="200">
        <f t="shared" si="4"/>
        <v>0</v>
      </c>
      <c r="H90" s="200">
        <f t="shared" si="5"/>
        <v>0</v>
      </c>
      <c r="I90" s="125"/>
      <c r="J90" s="125"/>
    </row>
    <row r="91" spans="1:10" s="124" customFormat="1" ht="19.5" hidden="1" customHeight="1">
      <c r="A91" s="167">
        <v>80</v>
      </c>
      <c r="B91" s="153"/>
      <c r="C91" s="153"/>
      <c r="D91" s="153"/>
      <c r="E91" s="199">
        <f>IFERROR(VLOOKUP(B91,DATA!$A$2:$C$200,3,0),0)</f>
        <v>0</v>
      </c>
      <c r="F91" s="200">
        <f t="shared" si="3"/>
        <v>0</v>
      </c>
      <c r="G91" s="200">
        <f t="shared" si="4"/>
        <v>0</v>
      </c>
      <c r="H91" s="200">
        <f t="shared" si="5"/>
        <v>0</v>
      </c>
      <c r="I91" s="125"/>
      <c r="J91" s="125"/>
    </row>
    <row r="92" spans="1:10" s="124" customFormat="1" ht="19.5" hidden="1" customHeight="1">
      <c r="A92" s="167">
        <v>81</v>
      </c>
      <c r="B92" s="153"/>
      <c r="C92" s="153"/>
      <c r="D92" s="153"/>
      <c r="E92" s="199">
        <f>IFERROR(VLOOKUP(B92,DATA!$A$2:$C$200,3,0),0)</f>
        <v>0</v>
      </c>
      <c r="F92" s="200">
        <f t="shared" si="3"/>
        <v>0</v>
      </c>
      <c r="G92" s="200">
        <f t="shared" si="4"/>
        <v>0</v>
      </c>
      <c r="H92" s="200">
        <f t="shared" si="5"/>
        <v>0</v>
      </c>
      <c r="I92" s="125"/>
      <c r="J92" s="125"/>
    </row>
    <row r="93" spans="1:10" s="124" customFormat="1" ht="19.5" hidden="1" customHeight="1">
      <c r="A93" s="167">
        <v>82</v>
      </c>
      <c r="B93" s="153"/>
      <c r="C93" s="153"/>
      <c r="D93" s="153"/>
      <c r="E93" s="199">
        <f>IFERROR(VLOOKUP(B93,DATA!$A$2:$C$200,3,0),0)</f>
        <v>0</v>
      </c>
      <c r="F93" s="200">
        <f t="shared" si="3"/>
        <v>0</v>
      </c>
      <c r="G93" s="200">
        <f t="shared" si="4"/>
        <v>0</v>
      </c>
      <c r="H93" s="200">
        <f t="shared" si="5"/>
        <v>0</v>
      </c>
      <c r="I93" s="125"/>
      <c r="J93" s="125"/>
    </row>
    <row r="94" spans="1:10" s="124" customFormat="1" ht="19.5" hidden="1" customHeight="1">
      <c r="A94" s="167">
        <v>83</v>
      </c>
      <c r="B94" s="153"/>
      <c r="C94" s="153"/>
      <c r="D94" s="153"/>
      <c r="E94" s="199">
        <f>IFERROR(VLOOKUP(B94,DATA!$A$2:$C$200,3,0),0)</f>
        <v>0</v>
      </c>
      <c r="F94" s="200">
        <f t="shared" si="3"/>
        <v>0</v>
      </c>
      <c r="G94" s="200">
        <f t="shared" si="4"/>
        <v>0</v>
      </c>
      <c r="H94" s="200">
        <f t="shared" si="5"/>
        <v>0</v>
      </c>
      <c r="I94" s="125"/>
      <c r="J94" s="125"/>
    </row>
    <row r="95" spans="1:10" s="124" customFormat="1" ht="19.5" hidden="1" customHeight="1">
      <c r="A95" s="167">
        <v>84</v>
      </c>
      <c r="B95" s="153"/>
      <c r="C95" s="153"/>
      <c r="D95" s="153"/>
      <c r="E95" s="199">
        <f>IFERROR(VLOOKUP(B95,DATA!$A$2:$C$200,3,0),0)</f>
        <v>0</v>
      </c>
      <c r="F95" s="200">
        <f t="shared" si="3"/>
        <v>0</v>
      </c>
      <c r="G95" s="200">
        <f t="shared" si="4"/>
        <v>0</v>
      </c>
      <c r="H95" s="200">
        <f t="shared" si="5"/>
        <v>0</v>
      </c>
      <c r="I95" s="125"/>
      <c r="J95" s="125"/>
    </row>
    <row r="96" spans="1:10" s="124" customFormat="1" ht="19.5" hidden="1" customHeight="1">
      <c r="A96" s="167">
        <v>85</v>
      </c>
      <c r="B96" s="153"/>
      <c r="C96" s="153"/>
      <c r="D96" s="153"/>
      <c r="E96" s="199">
        <f>IFERROR(VLOOKUP(B96,DATA!$A$2:$C$200,3,0),0)</f>
        <v>0</v>
      </c>
      <c r="F96" s="200">
        <f t="shared" si="3"/>
        <v>0</v>
      </c>
      <c r="G96" s="200">
        <f t="shared" si="4"/>
        <v>0</v>
      </c>
      <c r="H96" s="200">
        <f t="shared" si="5"/>
        <v>0</v>
      </c>
      <c r="I96" s="125"/>
      <c r="J96" s="125"/>
    </row>
    <row r="97" spans="1:244" s="124" customFormat="1" ht="19.5" hidden="1" customHeight="1">
      <c r="A97" s="167">
        <v>86</v>
      </c>
      <c r="B97" s="153"/>
      <c r="C97" s="153"/>
      <c r="D97" s="153"/>
      <c r="E97" s="199">
        <f>IFERROR(VLOOKUP(B97,DATA!$A$2:$C$200,3,0),0)</f>
        <v>0</v>
      </c>
      <c r="F97" s="200">
        <f t="shared" si="3"/>
        <v>0</v>
      </c>
      <c r="G97" s="200">
        <f t="shared" si="4"/>
        <v>0</v>
      </c>
      <c r="H97" s="200">
        <f t="shared" si="5"/>
        <v>0</v>
      </c>
      <c r="I97" s="125"/>
      <c r="J97" s="125"/>
    </row>
    <row r="98" spans="1:244" s="124" customFormat="1" ht="19.5" hidden="1" customHeight="1">
      <c r="A98" s="167">
        <v>87</v>
      </c>
      <c r="B98" s="153"/>
      <c r="C98" s="153"/>
      <c r="D98" s="153"/>
      <c r="E98" s="199">
        <f>IFERROR(VLOOKUP(B98,DATA!$A$2:$C$200,3,0),0)</f>
        <v>0</v>
      </c>
      <c r="F98" s="200">
        <f t="shared" si="3"/>
        <v>0</v>
      </c>
      <c r="G98" s="200">
        <f t="shared" si="4"/>
        <v>0</v>
      </c>
      <c r="H98" s="200">
        <f t="shared" si="5"/>
        <v>0</v>
      </c>
      <c r="I98" s="125"/>
      <c r="J98" s="125"/>
    </row>
    <row r="99" spans="1:244" s="124" customFormat="1" ht="19.5" hidden="1" customHeight="1">
      <c r="A99" s="167">
        <v>88</v>
      </c>
      <c r="B99" s="153"/>
      <c r="C99" s="153"/>
      <c r="D99" s="153"/>
      <c r="E99" s="199">
        <f>IFERROR(VLOOKUP(B99,DATA!$A$2:$C$200,3,0),0)</f>
        <v>0</v>
      </c>
      <c r="F99" s="200">
        <f t="shared" si="3"/>
        <v>0</v>
      </c>
      <c r="G99" s="200">
        <f t="shared" si="4"/>
        <v>0</v>
      </c>
      <c r="H99" s="200">
        <f t="shared" si="5"/>
        <v>0</v>
      </c>
      <c r="I99" s="125"/>
      <c r="J99" s="125"/>
    </row>
    <row r="100" spans="1:244" s="124" customFormat="1" ht="19.5" hidden="1" customHeight="1">
      <c r="A100" s="167">
        <v>89</v>
      </c>
      <c r="B100" s="166"/>
      <c r="C100" s="153"/>
      <c r="D100" s="153"/>
      <c r="E100" s="199">
        <f>IFERROR(VLOOKUP(B100,DATA!$A$2:$C$200,3,0),0)</f>
        <v>0</v>
      </c>
      <c r="F100" s="200">
        <f t="shared" si="3"/>
        <v>0</v>
      </c>
      <c r="G100" s="200">
        <f t="shared" si="4"/>
        <v>0</v>
      </c>
      <c r="H100" s="200">
        <f t="shared" si="5"/>
        <v>0</v>
      </c>
      <c r="I100" s="125"/>
      <c r="J100" s="125"/>
    </row>
    <row r="101" spans="1:244" s="124" customFormat="1" ht="19.5" hidden="1" customHeight="1">
      <c r="A101" s="167">
        <v>90</v>
      </c>
      <c r="B101" s="166"/>
      <c r="C101" s="153"/>
      <c r="D101" s="153"/>
      <c r="E101" s="199">
        <f>IFERROR(VLOOKUP(B101,DATA!$A$2:$C$200,3,0),0)</f>
        <v>0</v>
      </c>
      <c r="F101" s="200">
        <f t="shared" si="3"/>
        <v>0</v>
      </c>
      <c r="G101" s="200">
        <f t="shared" si="4"/>
        <v>0</v>
      </c>
      <c r="H101" s="200">
        <f t="shared" si="5"/>
        <v>0</v>
      </c>
      <c r="I101" s="125"/>
      <c r="J101" s="125"/>
    </row>
    <row r="102" spans="1:244" s="124" customFormat="1" ht="19.5" hidden="1" customHeight="1">
      <c r="A102" s="167">
        <v>91</v>
      </c>
      <c r="B102" s="166"/>
      <c r="C102" s="153"/>
      <c r="D102" s="153"/>
      <c r="E102" s="199">
        <f>IFERROR(VLOOKUP(B102,DATA!$A$2:$C$200,3,0),0)</f>
        <v>0</v>
      </c>
      <c r="F102" s="200">
        <f t="shared" si="3"/>
        <v>0</v>
      </c>
      <c r="G102" s="200">
        <f t="shared" si="4"/>
        <v>0</v>
      </c>
      <c r="H102" s="200">
        <f t="shared" si="5"/>
        <v>0</v>
      </c>
      <c r="I102" s="125"/>
      <c r="J102" s="125"/>
    </row>
    <row r="103" spans="1:244" s="124" customFormat="1" ht="19.5" hidden="1" customHeight="1">
      <c r="A103" s="167">
        <v>92</v>
      </c>
      <c r="B103" s="166"/>
      <c r="C103" s="153"/>
      <c r="D103" s="153"/>
      <c r="E103" s="199">
        <f>IFERROR(VLOOKUP(B103,DATA!$A$2:$C$200,3,0),0)</f>
        <v>0</v>
      </c>
      <c r="F103" s="200">
        <f t="shared" si="3"/>
        <v>0</v>
      </c>
      <c r="G103" s="200">
        <f t="shared" si="4"/>
        <v>0</v>
      </c>
      <c r="H103" s="200">
        <f t="shared" si="5"/>
        <v>0</v>
      </c>
      <c r="I103" s="125"/>
      <c r="J103" s="125"/>
    </row>
    <row r="104" spans="1:244" s="124" customFormat="1" ht="19.5" hidden="1" customHeight="1">
      <c r="A104" s="167">
        <v>93</v>
      </c>
      <c r="B104" s="166"/>
      <c r="C104" s="153"/>
      <c r="D104" s="153"/>
      <c r="E104" s="199">
        <f>IFERROR(VLOOKUP(B104,DATA!$A$2:$C$200,3,0),0)</f>
        <v>0</v>
      </c>
      <c r="F104" s="200">
        <f t="shared" si="3"/>
        <v>0</v>
      </c>
      <c r="G104" s="200">
        <f t="shared" si="4"/>
        <v>0</v>
      </c>
      <c r="H104" s="200">
        <f t="shared" si="5"/>
        <v>0</v>
      </c>
      <c r="I104" s="125"/>
      <c r="J104" s="125"/>
    </row>
    <row r="105" spans="1:244" s="124" customFormat="1" ht="19.5" hidden="1" customHeight="1">
      <c r="A105" s="167">
        <v>94</v>
      </c>
      <c r="B105" s="166"/>
      <c r="C105" s="153"/>
      <c r="D105" s="153"/>
      <c r="E105" s="199">
        <f>IFERROR(VLOOKUP(B105,DATA!$A$2:$C$200,3,0),0)</f>
        <v>0</v>
      </c>
      <c r="F105" s="200">
        <f t="shared" si="3"/>
        <v>0</v>
      </c>
      <c r="G105" s="200">
        <f t="shared" si="4"/>
        <v>0</v>
      </c>
      <c r="H105" s="200">
        <f t="shared" si="5"/>
        <v>0</v>
      </c>
      <c r="I105" s="125"/>
      <c r="J105" s="125"/>
    </row>
    <row r="106" spans="1:244" s="124" customFormat="1" ht="19.5" hidden="1" customHeight="1">
      <c r="A106" s="167">
        <v>95</v>
      </c>
      <c r="B106" s="166"/>
      <c r="C106" s="153"/>
      <c r="D106" s="153"/>
      <c r="E106" s="199">
        <f>IFERROR(VLOOKUP(B106,DATA!$A$2:$C$200,3,0),0)</f>
        <v>0</v>
      </c>
      <c r="F106" s="200">
        <f t="shared" si="3"/>
        <v>0</v>
      </c>
      <c r="G106" s="200">
        <f t="shared" si="4"/>
        <v>0</v>
      </c>
      <c r="H106" s="200">
        <f t="shared" si="5"/>
        <v>0</v>
      </c>
      <c r="I106" s="125"/>
      <c r="J106" s="125"/>
    </row>
    <row r="107" spans="1:244" s="124" customFormat="1" ht="19.5" hidden="1" customHeight="1">
      <c r="A107" s="167">
        <v>96</v>
      </c>
      <c r="B107" s="166"/>
      <c r="C107" s="153"/>
      <c r="D107" s="153"/>
      <c r="E107" s="199">
        <f>IFERROR(VLOOKUP(B107,DATA!$A$2:$C$200,3,0),0)</f>
        <v>0</v>
      </c>
      <c r="F107" s="200">
        <f t="shared" si="3"/>
        <v>0</v>
      </c>
      <c r="G107" s="200">
        <f t="shared" si="4"/>
        <v>0</v>
      </c>
      <c r="H107" s="200">
        <f t="shared" si="5"/>
        <v>0</v>
      </c>
      <c r="I107" s="125"/>
      <c r="J107" s="125"/>
    </row>
    <row r="108" spans="1:244" s="124" customFormat="1" ht="19.5" hidden="1" customHeight="1">
      <c r="A108" s="167">
        <v>97</v>
      </c>
      <c r="B108" s="166"/>
      <c r="C108" s="153"/>
      <c r="D108" s="153"/>
      <c r="E108" s="199">
        <f>IFERROR(VLOOKUP(B108,DATA!$A$2:$C$200,3,0),0)</f>
        <v>0</v>
      </c>
      <c r="F108" s="200">
        <f t="shared" si="3"/>
        <v>0</v>
      </c>
      <c r="G108" s="200">
        <f t="shared" si="4"/>
        <v>0</v>
      </c>
      <c r="H108" s="200">
        <f t="shared" si="5"/>
        <v>0</v>
      </c>
      <c r="I108" s="125"/>
      <c r="J108" s="125"/>
    </row>
    <row r="109" spans="1:244" s="124" customFormat="1" ht="19.5" hidden="1" customHeight="1">
      <c r="A109" s="167">
        <v>98</v>
      </c>
      <c r="B109" s="166"/>
      <c r="C109" s="153"/>
      <c r="D109" s="153"/>
      <c r="E109" s="199">
        <f>IFERROR(VLOOKUP(B109,DATA!$A$2:$C$200,3,0),0)</f>
        <v>0</v>
      </c>
      <c r="F109" s="200">
        <f t="shared" si="3"/>
        <v>0</v>
      </c>
      <c r="G109" s="200">
        <f t="shared" si="4"/>
        <v>0</v>
      </c>
      <c r="H109" s="200">
        <f t="shared" si="5"/>
        <v>0</v>
      </c>
      <c r="I109" s="125"/>
      <c r="J109" s="125"/>
    </row>
    <row r="110" spans="1:244" s="124" customFormat="1" ht="19.5" hidden="1" customHeight="1">
      <c r="A110" s="167">
        <v>99</v>
      </c>
      <c r="B110" s="166"/>
      <c r="C110" s="153"/>
      <c r="D110" s="153"/>
      <c r="E110" s="199">
        <f>IFERROR(VLOOKUP(B110,DATA!$A$2:$C$200,3,0),0)</f>
        <v>0</v>
      </c>
      <c r="F110" s="200">
        <f t="shared" si="3"/>
        <v>0</v>
      </c>
      <c r="G110" s="200">
        <f t="shared" si="4"/>
        <v>0</v>
      </c>
      <c r="H110" s="200">
        <f t="shared" si="5"/>
        <v>0</v>
      </c>
      <c r="I110" s="125"/>
      <c r="J110" s="125"/>
    </row>
    <row r="111" spans="1:244" s="124" customFormat="1" ht="19.5" hidden="1" customHeight="1">
      <c r="A111" s="167">
        <v>100</v>
      </c>
      <c r="B111" s="166"/>
      <c r="C111" s="153"/>
      <c r="D111" s="153"/>
      <c r="E111" s="199">
        <f>IFERROR(VLOOKUP(B111,DATA!$A$2:$C$200,3,0),0)</f>
        <v>0</v>
      </c>
      <c r="F111" s="200">
        <f t="shared" si="3"/>
        <v>0</v>
      </c>
      <c r="G111" s="200">
        <f t="shared" si="4"/>
        <v>0</v>
      </c>
      <c r="H111" s="200">
        <f t="shared" si="5"/>
        <v>0</v>
      </c>
      <c r="I111" s="125"/>
      <c r="J111" s="125"/>
    </row>
    <row r="112" spans="1:244" ht="15.75" customHeight="1">
      <c r="A112" s="17"/>
      <c r="B112" s="151" t="s">
        <v>143</v>
      </c>
      <c r="C112" s="124"/>
      <c r="D112" s="180"/>
      <c r="E112" s="179"/>
      <c r="F112" s="152">
        <f>SUM(F12:F111)</f>
        <v>1044400</v>
      </c>
      <c r="G112" s="152">
        <f t="shared" ref="G112:H112" si="6">SUM(G12:G111)</f>
        <v>104440</v>
      </c>
      <c r="H112" s="152">
        <f t="shared" si="6"/>
        <v>1148840</v>
      </c>
      <c r="I112" s="164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</row>
    <row r="113" spans="1:244" ht="15" customHeight="1">
      <c r="E113" s="154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</row>
    <row r="114" spans="1:244">
      <c r="A114" s="223" t="s">
        <v>138</v>
      </c>
      <c r="B114" s="223"/>
      <c r="C114" s="222" t="s">
        <v>139</v>
      </c>
      <c r="D114" s="222"/>
      <c r="E114" s="222"/>
      <c r="F114" s="222"/>
      <c r="G114" s="221" t="s">
        <v>232</v>
      </c>
      <c r="H114" s="221"/>
      <c r="I114" s="92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</row>
    <row r="115" spans="1:244">
      <c r="A115" s="93"/>
      <c r="B115" s="93"/>
      <c r="C115" s="93"/>
      <c r="D115" s="93"/>
      <c r="E115" s="93"/>
      <c r="F115" s="93"/>
      <c r="G115" s="93"/>
      <c r="H115" s="93"/>
      <c r="I115" s="92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</row>
    <row r="116" spans="1:244">
      <c r="A116" s="91"/>
      <c r="B116" s="91"/>
      <c r="C116" s="91"/>
      <c r="D116" s="91"/>
      <c r="E116" s="91"/>
      <c r="F116" s="91"/>
      <c r="G116" s="91"/>
      <c r="H116" s="91"/>
      <c r="I116" s="92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</row>
    <row r="117" spans="1:244">
      <c r="A117" s="91"/>
      <c r="B117" s="91"/>
      <c r="C117" s="91"/>
      <c r="D117" s="91"/>
      <c r="E117" s="91"/>
      <c r="F117" s="91"/>
      <c r="G117" s="91"/>
      <c r="H117" s="91"/>
      <c r="I117" s="92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</row>
    <row r="118" spans="1:244">
      <c r="A118" s="91"/>
      <c r="B118" s="91"/>
      <c r="C118" s="91"/>
      <c r="D118" s="91"/>
      <c r="E118" s="91"/>
      <c r="F118" s="91"/>
      <c r="G118" s="91"/>
      <c r="H118" s="94"/>
      <c r="I118" s="94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</row>
    <row r="119" spans="1:244" ht="9" customHeight="1">
      <c r="A119" s="91"/>
      <c r="B119" s="91"/>
      <c r="C119" s="91"/>
      <c r="D119" s="91"/>
      <c r="E119" s="91"/>
      <c r="F119" s="91"/>
      <c r="G119" s="91"/>
      <c r="H119" s="93"/>
      <c r="I119" s="93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</row>
    <row r="120" spans="1:244" ht="51.75" customHeight="1">
      <c r="A120" s="227" t="s">
        <v>142</v>
      </c>
      <c r="B120" s="227"/>
      <c r="C120" s="226" t="s">
        <v>246</v>
      </c>
      <c r="D120" s="226"/>
      <c r="E120" s="226"/>
      <c r="F120" s="95"/>
      <c r="G120" s="224" t="s">
        <v>233</v>
      </c>
      <c r="H120" s="224"/>
      <c r="I120" s="95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</row>
    <row r="121" spans="1:244" ht="33" customHeight="1">
      <c r="A121" s="225" t="s">
        <v>141</v>
      </c>
      <c r="B121" s="225"/>
      <c r="C121" s="225" t="s">
        <v>245</v>
      </c>
      <c r="D121" s="225"/>
      <c r="E121" s="225"/>
      <c r="F121" s="93"/>
      <c r="G121" s="225" t="s">
        <v>234</v>
      </c>
      <c r="H121" s="225"/>
      <c r="I121" s="90"/>
      <c r="J121"/>
      <c r="K121"/>
      <c r="L121" s="90"/>
      <c r="M121" s="90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</row>
    <row r="122" spans="1:244" ht="15" customHeight="1">
      <c r="A122" s="220" t="s">
        <v>244</v>
      </c>
      <c r="B122" s="220"/>
      <c r="C122" s="220" t="s">
        <v>244</v>
      </c>
      <c r="D122" s="220"/>
      <c r="E122" s="220"/>
      <c r="F122" s="90"/>
      <c r="G122" s="220" t="s">
        <v>140</v>
      </c>
      <c r="H122" s="220"/>
      <c r="I122" s="90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</row>
    <row r="123" spans="1:244"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</row>
  </sheetData>
  <autoFilter ref="A11:H112">
    <filterColumn colId="5">
      <customFilters>
        <customFilter operator="greaterThan" val="0"/>
      </customFilters>
    </filterColumn>
  </autoFilter>
  <mergeCells count="27">
    <mergeCell ref="A1:H1"/>
    <mergeCell ref="F3:H3"/>
    <mergeCell ref="F4:H4"/>
    <mergeCell ref="F8:H8"/>
    <mergeCell ref="F9:H9"/>
    <mergeCell ref="A5:B5"/>
    <mergeCell ref="A2:H2"/>
    <mergeCell ref="A7:E7"/>
    <mergeCell ref="A9:E9"/>
    <mergeCell ref="A8:E8"/>
    <mergeCell ref="C5:E5"/>
    <mergeCell ref="F5:H5"/>
    <mergeCell ref="F6:H6"/>
    <mergeCell ref="F7:H7"/>
    <mergeCell ref="A6:E6"/>
    <mergeCell ref="G122:H122"/>
    <mergeCell ref="G114:H114"/>
    <mergeCell ref="C114:F114"/>
    <mergeCell ref="A114:B114"/>
    <mergeCell ref="G120:H120"/>
    <mergeCell ref="G121:H121"/>
    <mergeCell ref="C120:E120"/>
    <mergeCell ref="A122:B122"/>
    <mergeCell ref="C122:E122"/>
    <mergeCell ref="A120:B120"/>
    <mergeCell ref="A121:B121"/>
    <mergeCell ref="C121:E121"/>
  </mergeCells>
  <pageMargins left="0.7" right="0.7" top="0.5" bottom="0.25" header="0.3" footer="0.3"/>
  <pageSetup scale="70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 filterMode="1">
    <pageSetUpPr fitToPage="1"/>
  </sheetPr>
  <dimension ref="A1:IH202"/>
  <sheetViews>
    <sheetView topLeftCell="A6" zoomScaleSheetLayoutView="100" workbookViewId="0">
      <selection activeCell="E193" sqref="E193:F193"/>
    </sheetView>
  </sheetViews>
  <sheetFormatPr defaultRowHeight="15"/>
  <cols>
    <col min="1" max="1" width="30.7109375" style="2" customWidth="1"/>
    <col min="2" max="2" width="5.5703125" style="1" customWidth="1"/>
    <col min="3" max="3" width="6.5703125" style="2" customWidth="1"/>
    <col min="4" max="4" width="10.5703125" style="175" customWidth="1"/>
    <col min="5" max="5" width="10.85546875" style="175" customWidth="1"/>
    <col min="6" max="6" width="12.42578125" style="175" customWidth="1"/>
    <col min="7" max="242" width="9.7109375" style="2" customWidth="1"/>
    <col min="243" max="1014" width="9.7109375" customWidth="1"/>
    <col min="1015" max="1015" width="10.28515625" customWidth="1"/>
  </cols>
  <sheetData>
    <row r="1" spans="1:242" ht="38.25" hidden="1">
      <c r="A1" s="176" t="s">
        <v>106</v>
      </c>
      <c r="B1" s="182" t="s">
        <v>107</v>
      </c>
      <c r="C1" s="183" t="s">
        <v>17</v>
      </c>
      <c r="D1" s="172"/>
      <c r="E1" s="172"/>
      <c r="F1" s="172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</row>
    <row r="2" spans="1:242" ht="19.5" hidden="1" customHeight="1">
      <c r="A2" s="86" t="str">
        <f>'THONG KE'!B7</f>
        <v>Acco Nhựa</v>
      </c>
      <c r="B2" s="131" t="str">
        <f>'THONG KE'!C7</f>
        <v>hộp</v>
      </c>
      <c r="C2" s="153">
        <f>VLOOKUP(A2,'THONG KE'!$B$7:$AC$200,28,0)</f>
        <v>0</v>
      </c>
      <c r="D2" s="102"/>
      <c r="E2" s="102"/>
      <c r="F2" s="10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</row>
    <row r="3" spans="1:242" ht="19.5" hidden="1" customHeight="1">
      <c r="A3" s="131" t="str">
        <f>'THONG KE'!B8</f>
        <v>Bấm Kim 10E Tr - Plus</v>
      </c>
      <c r="B3" s="131" t="str">
        <f>'THONG KE'!C8</f>
        <v>cái</v>
      </c>
      <c r="C3" s="153">
        <f>VLOOKUP(A3,'THONG KE'!$B$7:$AC$200,28,0)</f>
        <v>0</v>
      </c>
      <c r="D3" s="102"/>
      <c r="E3" s="102"/>
      <c r="F3" s="102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</row>
    <row r="4" spans="1:242" ht="19.5" hidden="1" customHeight="1">
      <c r="A4" s="131" t="str">
        <f>'THONG KE'!B9</f>
        <v>Bấm kim số 03</v>
      </c>
      <c r="B4" s="131" t="str">
        <f>'THONG KE'!C9</f>
        <v>cái</v>
      </c>
      <c r="C4" s="153">
        <f>VLOOKUP(A4,'THONG KE'!$B$7:$AC$200,28,0)</f>
        <v>0</v>
      </c>
      <c r="D4" s="102"/>
      <c r="E4" s="102"/>
      <c r="F4" s="102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</row>
    <row r="5" spans="1:242" ht="19.5" hidden="1" customHeight="1">
      <c r="A5" s="131" t="str">
        <f>'THONG KE'!B10</f>
        <v>Bấm Lổ Eagle 837</v>
      </c>
      <c r="B5" s="131" t="str">
        <f>'THONG KE'!C10</f>
        <v>cái</v>
      </c>
      <c r="C5" s="153">
        <f>VLOOKUP(A5,'THONG KE'!$B$7:$AC$200,28,0)</f>
        <v>0</v>
      </c>
      <c r="D5" s="102"/>
      <c r="E5" s="102"/>
      <c r="F5" s="102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</row>
    <row r="6" spans="1:242" ht="19.5" customHeight="1">
      <c r="A6" s="131" t="str">
        <f>'THONG KE'!B11</f>
        <v>Băng Keo 2 Mặt 1,6Cm</v>
      </c>
      <c r="B6" s="131" t="str">
        <f>'THONG KE'!C11</f>
        <v>cuộn</v>
      </c>
      <c r="C6" s="153">
        <f>VLOOKUP(A6,'THONG KE'!$B$7:$AC$200,28,0)</f>
        <v>9</v>
      </c>
      <c r="D6" s="102"/>
      <c r="E6" s="102"/>
      <c r="F6" s="102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</row>
    <row r="7" spans="1:242" ht="19.5" hidden="1" customHeight="1">
      <c r="A7" s="131" t="str">
        <f>'THONG KE'!B12</f>
        <v>Băng Keo 2 Mặt Xốp 2,4Cm</v>
      </c>
      <c r="B7" s="131" t="str">
        <f>'THONG KE'!C12</f>
        <v>cuộn</v>
      </c>
      <c r="C7" s="153">
        <f>VLOOKUP(A7,'THONG KE'!$B$7:$AC$200,28,0)</f>
        <v>0</v>
      </c>
      <c r="D7" s="102"/>
      <c r="E7" s="102"/>
      <c r="F7" s="102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</row>
    <row r="8" spans="1:242" ht="19.5" hidden="1" customHeight="1">
      <c r="A8" s="131" t="str">
        <f>'THONG KE'!B13</f>
        <v>Băng keo giấy</v>
      </c>
      <c r="B8" s="131" t="str">
        <f>'THONG KE'!C13</f>
        <v>cuộn</v>
      </c>
      <c r="C8" s="153">
        <f>VLOOKUP(A8,'THONG KE'!$B$7:$AC$200,28,0)</f>
        <v>0</v>
      </c>
      <c r="D8" s="102"/>
      <c r="E8" s="102"/>
      <c r="F8" s="102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</row>
    <row r="9" spans="1:242" ht="19.5" customHeight="1">
      <c r="A9" s="131" t="str">
        <f>'THONG KE'!B14</f>
        <v>Băng keo trong 2cm</v>
      </c>
      <c r="B9" s="131" t="str">
        <f>'THONG KE'!C14</f>
        <v>cuộn</v>
      </c>
      <c r="C9" s="153">
        <f>VLOOKUP(A9,'THONG KE'!$B$7:$AC$200,28,0)</f>
        <v>10</v>
      </c>
      <c r="D9" s="102"/>
      <c r="E9" s="102"/>
      <c r="F9" s="102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</row>
    <row r="10" spans="1:242" ht="19.5" hidden="1" customHeight="1">
      <c r="A10" s="131" t="str">
        <f>'THONG KE'!B15</f>
        <v>Băng Keo Trong 5Cm 80Yards</v>
      </c>
      <c r="B10" s="131" t="str">
        <f>'THONG KE'!C15</f>
        <v>cuộn</v>
      </c>
      <c r="C10" s="153">
        <f>VLOOKUP(A10,'THONG KE'!$B$7:$AC$200,28,0)</f>
        <v>0</v>
      </c>
      <c r="D10" s="102"/>
      <c r="E10" s="102"/>
      <c r="F10" s="102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</row>
    <row r="11" spans="1:242" ht="19.5" customHeight="1">
      <c r="A11" s="131" t="str">
        <f>'THONG KE'!B16</f>
        <v>Bảng Tên Nhựa Dẻo (Đứng)</v>
      </c>
      <c r="B11" s="131" t="str">
        <f>'THONG KE'!C16</f>
        <v>cái</v>
      </c>
      <c r="C11" s="153">
        <f>VLOOKUP(A11,'THONG KE'!$B$7:$AC$200,28,0)</f>
        <v>100</v>
      </c>
      <c r="D11" s="102"/>
      <c r="E11" s="102"/>
      <c r="F11" s="102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</row>
    <row r="12" spans="1:242" ht="19.5" hidden="1" customHeight="1">
      <c r="A12" s="131" t="str">
        <f>'THONG KE'!B17</f>
        <v>Bảng Tên Nhựa Dẻo (Ngang)</v>
      </c>
      <c r="B12" s="131" t="str">
        <f>'THONG KE'!C17</f>
        <v>cái</v>
      </c>
      <c r="C12" s="153">
        <f>VLOOKUP(A12,'THONG KE'!$B$7:$AC$200,28,0)</f>
        <v>0</v>
      </c>
      <c r="D12" s="102"/>
      <c r="E12" s="102"/>
      <c r="F12" s="10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</row>
    <row r="13" spans="1:242" ht="19.5" hidden="1" customHeight="1">
      <c r="A13" s="131" t="str">
        <f>'THONG KE'!B18</f>
        <v>Băng Xóa Mini 5 Series Bag Jpn</v>
      </c>
      <c r="B13" s="131" t="str">
        <f>'THONG KE'!C18</f>
        <v>cái</v>
      </c>
      <c r="C13" s="153">
        <f>VLOOKUP(A13,'THONG KE'!$B$7:$AC$200,28,0)</f>
        <v>0</v>
      </c>
      <c r="D13" s="102"/>
      <c r="E13" s="102"/>
      <c r="F13" s="102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</row>
    <row r="14" spans="1:242" ht="19.5" hidden="1" customHeight="1">
      <c r="A14" s="131" t="str">
        <f>'THONG KE'!B19</f>
        <v>Bìa 1 Nút F4</v>
      </c>
      <c r="B14" s="131" t="str">
        <f>'THONG KE'!C19</f>
        <v>cái</v>
      </c>
      <c r="C14" s="153">
        <f>VLOOKUP(A14,'THONG KE'!$B$7:$AC$200,28,0)</f>
        <v>0</v>
      </c>
      <c r="D14" s="102"/>
      <c r="E14" s="102"/>
      <c r="F14" s="102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</row>
    <row r="15" spans="1:242" ht="19.5" hidden="1" customHeight="1">
      <c r="A15" s="131" t="str">
        <f>'THONG KE'!B20</f>
        <v>Bìa Accord A4</v>
      </c>
      <c r="B15" s="131" t="str">
        <f>'THONG KE'!C20</f>
        <v>cái</v>
      </c>
      <c r="C15" s="153">
        <f>VLOOKUP(A15,'THONG KE'!$B$7:$AC$200,28,0)</f>
        <v>0</v>
      </c>
      <c r="D15" s="102"/>
      <c r="E15" s="102"/>
      <c r="F15" s="102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</row>
    <row r="16" spans="1:242" ht="19.5" hidden="1" customHeight="1">
      <c r="A16" s="131" t="str">
        <f>'THONG KE'!B21</f>
        <v>Bìa Còng 7P 2 Mặt Si A4</v>
      </c>
      <c r="B16" s="131" t="str">
        <f>'THONG KE'!C21</f>
        <v>cái</v>
      </c>
      <c r="C16" s="153">
        <f>VLOOKUP(A16,'THONG KE'!$B$7:$AC$200,28,0)</f>
        <v>0</v>
      </c>
      <c r="D16" s="102"/>
      <c r="E16" s="102"/>
      <c r="F16" s="102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</row>
    <row r="17" spans="1:242" ht="19.5" hidden="1" customHeight="1">
      <c r="A17" s="131" t="str">
        <f>'THONG KE'!B22</f>
        <v>Bìa Còng 7P 2 Mặt Si F4</v>
      </c>
      <c r="B17" s="131" t="str">
        <f>'THONG KE'!C22</f>
        <v>cái</v>
      </c>
      <c r="C17" s="153">
        <f>VLOOKUP(A17,'THONG KE'!$B$7:$AC$200,28,0)</f>
        <v>0</v>
      </c>
      <c r="D17" s="102"/>
      <c r="E17" s="102"/>
      <c r="F17" s="102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</row>
    <row r="18" spans="1:242" ht="19.5" hidden="1" customHeight="1">
      <c r="A18" s="131" t="str">
        <f>'THONG KE'!B23</f>
        <v>Bìa kẹp trình ký</v>
      </c>
      <c r="B18" s="131" t="str">
        <f>'THONG KE'!C23</f>
        <v>cái</v>
      </c>
      <c r="C18" s="153">
        <f>VLOOKUP(A18,'THONG KE'!$B$7:$AC$200,28,0)</f>
        <v>0</v>
      </c>
      <c r="D18" s="102"/>
      <c r="E18" s="102"/>
      <c r="F18" s="102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</row>
    <row r="19" spans="1:242" ht="22.5" hidden="1" customHeight="1">
      <c r="A19" s="131" t="str">
        <f>'THONG KE'!B24</f>
        <v>Bìa Lá A4 Plus</v>
      </c>
      <c r="B19" s="131" t="str">
        <f>'THONG KE'!C24</f>
        <v>tờ</v>
      </c>
      <c r="C19" s="153">
        <f>VLOOKUP(A19,'THONG KE'!$B$7:$AC$200,28,0)</f>
        <v>0</v>
      </c>
      <c r="D19" s="102"/>
      <c r="E19" s="102"/>
      <c r="F19" s="102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</row>
    <row r="20" spans="1:242" ht="19.5" hidden="1" customHeight="1">
      <c r="A20" s="131" t="str">
        <f>'THONG KE'!B25</f>
        <v>Bìa Lổ A4</v>
      </c>
      <c r="B20" s="131" t="str">
        <f>'THONG KE'!C25</f>
        <v>tờ</v>
      </c>
      <c r="C20" s="153">
        <f>VLOOKUP(A20,'THONG KE'!$B$7:$AC$200,28,0)</f>
        <v>0</v>
      </c>
      <c r="D20" s="102"/>
      <c r="E20" s="102"/>
      <c r="F20" s="102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</row>
    <row r="21" spans="1:242" ht="19.5" hidden="1" customHeight="1">
      <c r="A21" s="131" t="str">
        <f>'THONG KE'!B26</f>
        <v>Bìa nút</v>
      </c>
      <c r="B21" s="131" t="str">
        <f>'THONG KE'!C26</f>
        <v>cái</v>
      </c>
      <c r="C21" s="153">
        <f>VLOOKUP(A21,'THONG KE'!$B$7:$AC$200,28,0)</f>
        <v>0</v>
      </c>
      <c r="D21" s="102"/>
      <c r="E21" s="102"/>
      <c r="F21" s="102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</row>
    <row r="22" spans="1:242" ht="19.5" hidden="1" customHeight="1">
      <c r="A22" s="131" t="str">
        <f>'THONG KE'!B27</f>
        <v>Bìa Thái A4 Sunflower</v>
      </c>
      <c r="B22" s="131" t="str">
        <f>'THONG KE'!C27</f>
        <v>xấp</v>
      </c>
      <c r="C22" s="153">
        <f>VLOOKUP(A22,'THONG KE'!$B$7:$AC$200,28,0)</f>
        <v>0</v>
      </c>
      <c r="D22" s="102"/>
      <c r="E22" s="102"/>
      <c r="F22" s="10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</row>
    <row r="23" spans="1:242" ht="19.5" hidden="1" customHeight="1">
      <c r="A23" s="131" t="str">
        <f>'THONG KE'!B28</f>
        <v>Bìa Trình Ký Nhựa A4</v>
      </c>
      <c r="B23" s="131" t="str">
        <f>'THONG KE'!C28</f>
        <v>cái</v>
      </c>
      <c r="C23" s="153">
        <f>VLOOKUP(A23,'THONG KE'!$B$7:$AC$200,28,0)</f>
        <v>0</v>
      </c>
      <c r="D23" s="102"/>
      <c r="E23" s="102"/>
      <c r="F23" s="102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</row>
    <row r="24" spans="1:242" ht="19.5" hidden="1" customHeight="1">
      <c r="A24" s="131" t="str">
        <f>'THONG KE'!B29</f>
        <v>Cắt Băng Keo 5P Cầm Tay</v>
      </c>
      <c r="B24" s="131" t="str">
        <f>'THONG KE'!C29</f>
        <v>cái</v>
      </c>
      <c r="C24" s="153">
        <f>VLOOKUP(A24,'THONG KE'!$B$7:$AC$200,28,0)</f>
        <v>0</v>
      </c>
      <c r="D24" s="102"/>
      <c r="E24" s="102"/>
      <c r="F24" s="102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</row>
    <row r="25" spans="1:242" ht="19.5" hidden="1" customHeight="1">
      <c r="A25" s="131" t="str">
        <f>'THONG KE'!B30</f>
        <v>Chổi lông gà</v>
      </c>
      <c r="B25" s="131" t="str">
        <f>'THONG KE'!C30</f>
        <v>cây</v>
      </c>
      <c r="C25" s="153">
        <f>VLOOKUP(A25,'THONG KE'!$B$7:$AC$200,28,0)</f>
        <v>0</v>
      </c>
      <c r="D25" s="102"/>
      <c r="E25" s="102"/>
      <c r="F25" s="102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</row>
    <row r="26" spans="1:242" ht="19.5" hidden="1" customHeight="1">
      <c r="A26" s="131" t="str">
        <f>'THONG KE'!B31</f>
        <v>Chổi trung quét bàn phím</v>
      </c>
      <c r="B26" s="131" t="str">
        <f>'THONG KE'!C31</f>
        <v>Cây</v>
      </c>
      <c r="C26" s="153">
        <f>VLOOKUP(A26,'THONG KE'!$B$7:$AC$200,28,0)</f>
        <v>0</v>
      </c>
      <c r="D26" s="102"/>
      <c r="E26" s="102"/>
      <c r="F26" s="102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</row>
    <row r="27" spans="1:242" ht="19.5" hidden="1" customHeight="1">
      <c r="A27" s="131" t="str">
        <f>'THONG KE'!B32</f>
        <v>Chuốt Chì Nhỏ Sdi 0137</v>
      </c>
      <c r="B27" s="131" t="str">
        <f>'THONG KE'!C32</f>
        <v>cái</v>
      </c>
      <c r="C27" s="153">
        <f>VLOOKUP(A27,'THONG KE'!$B$7:$AC$200,28,0)</f>
        <v>0</v>
      </c>
      <c r="D27" s="102"/>
      <c r="E27" s="102"/>
      <c r="F27" s="102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</row>
    <row r="28" spans="1:242" ht="19.5" customHeight="1">
      <c r="A28" s="131" t="str">
        <f>'THONG KE'!B33</f>
        <v>Cồn Nhỏ</v>
      </c>
      <c r="B28" s="131" t="str">
        <f>'THONG KE'!C33</f>
        <v>Chai</v>
      </c>
      <c r="C28" s="153">
        <f>VLOOKUP(A28,'THONG KE'!$B$7:$AC$200,28,0)</f>
        <v>2</v>
      </c>
      <c r="D28" s="102"/>
      <c r="E28" s="102"/>
      <c r="F28" s="102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</row>
    <row r="29" spans="1:242" ht="19.5" customHeight="1">
      <c r="A29" s="131" t="str">
        <f>'THONG KE'!B34</f>
        <v>Dao Rọc Giấy Lớn Tth 280</v>
      </c>
      <c r="B29" s="131" t="str">
        <f>'THONG KE'!C34</f>
        <v>cây</v>
      </c>
      <c r="C29" s="153">
        <f>VLOOKUP(A29,'THONG KE'!$B$7:$AC$200,28,0)</f>
        <v>6</v>
      </c>
      <c r="D29" s="102"/>
      <c r="E29" s="102"/>
      <c r="F29" s="102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</row>
    <row r="30" spans="1:242" ht="19.5" customHeight="1">
      <c r="A30" s="131" t="str">
        <f>'THONG KE'!B35</f>
        <v>Dao rọc giấy nhỏ SDI (loại 3 lưỡi)</v>
      </c>
      <c r="B30" s="131" t="str">
        <f>'THONG KE'!C35</f>
        <v>cây</v>
      </c>
      <c r="C30" s="153">
        <f>VLOOKUP(A30,'THONG KE'!$B$7:$AC$200,28,0)</f>
        <v>5</v>
      </c>
      <c r="D30" s="102"/>
      <c r="E30" s="102"/>
      <c r="F30" s="102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</row>
    <row r="31" spans="1:242" ht="19.5" hidden="1" customHeight="1">
      <c r="A31" s="131" t="str">
        <f>'THONG KE'!B36</f>
        <v>Dao Rọc Giấy Lớn Sdi</v>
      </c>
      <c r="B31" s="131" t="str">
        <f>'THONG KE'!C36</f>
        <v>cây</v>
      </c>
      <c r="C31" s="153">
        <f>VLOOKUP(A31,'THONG KE'!$B$7:$AC$200,28,0)</f>
        <v>0</v>
      </c>
      <c r="D31" s="102"/>
      <c r="E31" s="102"/>
      <c r="F31" s="102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</row>
    <row r="32" spans="1:242" ht="19.5" hidden="1" customHeight="1">
      <c r="A32" s="131" t="str">
        <f>'THONG KE'!B37</f>
        <v>Dao Rọc Giấy Nhỏ Sdi</v>
      </c>
      <c r="B32" s="131" t="str">
        <f>'THONG KE'!C37</f>
        <v>cây</v>
      </c>
      <c r="C32" s="153">
        <f>VLOOKUP(A32,'THONG KE'!$B$7:$AC$200,28,0)</f>
        <v>0</v>
      </c>
      <c r="D32" s="102"/>
      <c r="E32" s="102"/>
      <c r="F32" s="10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</row>
    <row r="33" spans="1:242" ht="19.5" hidden="1" customHeight="1">
      <c r="A33" s="131" t="str">
        <f>'THONG KE'!B38</f>
        <v>Đinh ghim bảng đầu nhựa</v>
      </c>
      <c r="B33" s="131" t="str">
        <f>'THONG KE'!C38</f>
        <v>bịch</v>
      </c>
      <c r="C33" s="153">
        <f>VLOOKUP(A33,'THONG KE'!$B$7:$AC$200,28,0)</f>
        <v>0</v>
      </c>
      <c r="D33" s="102"/>
      <c r="E33" s="102"/>
      <c r="F33" s="102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</row>
    <row r="34" spans="1:242" ht="19.5" hidden="1" customHeight="1">
      <c r="A34" s="131" t="str">
        <f>'THONG KE'!B39</f>
        <v>Đồ lau bảng (sử dụng bảng viết lông)</v>
      </c>
      <c r="B34" s="131" t="str">
        <f>'THONG KE'!C39</f>
        <v>cái</v>
      </c>
      <c r="C34" s="153">
        <f>VLOOKUP(A34,'THONG KE'!$B$7:$AC$200,28,0)</f>
        <v>0</v>
      </c>
      <c r="D34" s="102"/>
      <c r="E34" s="102"/>
      <c r="F34" s="102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</row>
    <row r="35" spans="1:242" ht="19.5" customHeight="1">
      <c r="A35" s="131" t="str">
        <f>'THONG KE'!B40</f>
        <v xml:space="preserve">Giấy bấm giá TTH </v>
      </c>
      <c r="B35" s="131" t="str">
        <f>'THONG KE'!C40</f>
        <v>cuộn</v>
      </c>
      <c r="C35" s="153">
        <f>VLOOKUP(A35,'THONG KE'!$B$7:$AC$200,28,0)</f>
        <v>5</v>
      </c>
      <c r="D35" s="102"/>
      <c r="E35" s="102"/>
      <c r="F35" s="102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</row>
    <row r="36" spans="1:242" ht="19.5" hidden="1" customHeight="1">
      <c r="A36" s="131" t="str">
        <f>'THONG KE'!B41</f>
        <v>Giấy ghi chú 2''*3</v>
      </c>
      <c r="B36" s="131" t="str">
        <f>'THONG KE'!C41</f>
        <v>xấp</v>
      </c>
      <c r="C36" s="153">
        <f>VLOOKUP(A36,'THONG KE'!$B$7:$AC$200,28,0)</f>
        <v>0</v>
      </c>
      <c r="D36" s="102"/>
      <c r="E36" s="102"/>
      <c r="F36" s="102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</row>
    <row r="37" spans="1:242" ht="19.5" hidden="1" customHeight="1">
      <c r="A37" s="131" t="str">
        <f>'THONG KE'!B42</f>
        <v>Giấy ghi chú 1''*2</v>
      </c>
      <c r="B37" s="131" t="str">
        <f>'THONG KE'!C42</f>
        <v>xấp</v>
      </c>
      <c r="C37" s="153">
        <f>VLOOKUP(A37,'THONG KE'!$B$7:$AC$200,28,0)</f>
        <v>0</v>
      </c>
      <c r="D37" s="102"/>
      <c r="E37" s="102"/>
      <c r="F37" s="102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</row>
    <row r="38" spans="1:242" ht="19.5" hidden="1" customHeight="1">
      <c r="A38" s="131" t="str">
        <f>'THONG KE'!B43</f>
        <v>Giấy ghi chú 3''*3</v>
      </c>
      <c r="B38" s="131" t="str">
        <f>'THONG KE'!C43</f>
        <v>xấp</v>
      </c>
      <c r="C38" s="153">
        <f>VLOOKUP(A38,'THONG KE'!$B$7:$AC$200,28,0)</f>
        <v>0</v>
      </c>
      <c r="D38" s="102"/>
      <c r="E38" s="102"/>
      <c r="F38" s="102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</row>
    <row r="39" spans="1:242" ht="19.5" hidden="1" customHeight="1">
      <c r="A39" s="131" t="str">
        <f>'THONG KE'!B44</f>
        <v>Giấy ghi chú 3''*4</v>
      </c>
      <c r="B39" s="131" t="str">
        <f>'THONG KE'!C44</f>
        <v>xấp</v>
      </c>
      <c r="C39" s="153">
        <f>VLOOKUP(A39,'THONG KE'!$B$7:$AC$200,28,0)</f>
        <v>0</v>
      </c>
      <c r="D39" s="102"/>
      <c r="E39" s="102"/>
      <c r="F39" s="102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</row>
    <row r="40" spans="1:242" ht="19.5" hidden="1" customHeight="1">
      <c r="A40" s="131" t="str">
        <f>'THONG KE'!B45</f>
        <v>Gôm TL nhỏ</v>
      </c>
      <c r="B40" s="131" t="str">
        <f>'THONG KE'!C45</f>
        <v>Cục</v>
      </c>
      <c r="C40" s="153">
        <f>VLOOKUP(A40,'THONG KE'!$B$7:$AC$200,28,0)</f>
        <v>0</v>
      </c>
      <c r="D40" s="102"/>
      <c r="E40" s="102"/>
      <c r="F40" s="102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</row>
    <row r="41" spans="1:242" ht="19.5" hidden="1" customHeight="1">
      <c r="A41" s="131" t="str">
        <f>'THONG KE'!B46</f>
        <v>Gôm TL trung</v>
      </c>
      <c r="B41" s="131" t="str">
        <f>'THONG KE'!C46</f>
        <v>Cục</v>
      </c>
      <c r="C41" s="153">
        <f>VLOOKUP(A41,'THONG KE'!$B$7:$AC$200,28,0)</f>
        <v>0</v>
      </c>
      <c r="D41" s="102"/>
      <c r="E41" s="102"/>
      <c r="F41" s="102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</row>
    <row r="42" spans="1:242" ht="19.5" hidden="1" customHeight="1">
      <c r="A42" s="131" t="str">
        <f>'THONG KE'!B47</f>
        <v>Hồ nước</v>
      </c>
      <c r="B42" s="131" t="str">
        <f>'THONG KE'!C47</f>
        <v>hộp</v>
      </c>
      <c r="C42" s="153">
        <f>VLOOKUP(A42,'THONG KE'!$B$7:$AC$200,28,0)</f>
        <v>0</v>
      </c>
      <c r="D42" s="102"/>
      <c r="E42" s="102"/>
      <c r="F42" s="10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</row>
    <row r="43" spans="1:242" ht="19.5" hidden="1" customHeight="1">
      <c r="A43" s="131" t="str">
        <f>'THONG KE'!B48</f>
        <v>Kéo lớn S100</v>
      </c>
      <c r="B43" s="131" t="str">
        <f>'THONG KE'!C48</f>
        <v>cây</v>
      </c>
      <c r="C43" s="153">
        <f>VLOOKUP(A43,'THONG KE'!$B$7:$AC$200,28,0)</f>
        <v>0</v>
      </c>
      <c r="D43" s="102"/>
      <c r="E43" s="102"/>
      <c r="F43" s="102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</row>
    <row r="44" spans="1:242" ht="19.5" hidden="1" customHeight="1">
      <c r="A44" s="131" t="str">
        <f>'THONG KE'!B49</f>
        <v xml:space="preserve">Kéo nhỏ NO.S120 </v>
      </c>
      <c r="B44" s="131" t="str">
        <f>'THONG KE'!C49</f>
        <v>cây</v>
      </c>
      <c r="C44" s="153">
        <f>VLOOKUP(A44,'THONG KE'!$B$7:$AC$200,28,0)</f>
        <v>0</v>
      </c>
      <c r="D44" s="102"/>
      <c r="E44" s="102"/>
      <c r="F44" s="102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</row>
    <row r="45" spans="1:242" ht="19.5" hidden="1" customHeight="1">
      <c r="A45" s="131" t="str">
        <f>'THONG KE'!B50</f>
        <v>Keo Nước Thiên Long Lớn 30Ml</v>
      </c>
      <c r="B45" s="131" t="str">
        <f>'THONG KE'!C50</f>
        <v>lọ</v>
      </c>
      <c r="C45" s="153">
        <f>VLOOKUP(A45,'THONG KE'!$B$7:$AC$200,28,0)</f>
        <v>0</v>
      </c>
      <c r="D45" s="102"/>
      <c r="E45" s="102"/>
      <c r="F45" s="102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</row>
    <row r="46" spans="1:242" ht="19.5" hidden="1" customHeight="1">
      <c r="A46" s="131" t="str">
        <f>'THONG KE'!B51</f>
        <v>Kéo Suremark-8815</v>
      </c>
      <c r="B46" s="131" t="str">
        <f>'THONG KE'!C51</f>
        <v>cây</v>
      </c>
      <c r="C46" s="153">
        <f>VLOOKUP(A46,'THONG KE'!$B$7:$AC$200,28,0)</f>
        <v>0</v>
      </c>
      <c r="D46" s="102"/>
      <c r="E46" s="102"/>
      <c r="F46" s="102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</row>
    <row r="47" spans="1:242" ht="19.5" hidden="1" customHeight="1">
      <c r="A47" s="131" t="str">
        <f>'THONG KE'!B52</f>
        <v xml:space="preserve">Kẹp bảng tên </v>
      </c>
      <c r="B47" s="131" t="str">
        <f>'THONG KE'!C52</f>
        <v>cái</v>
      </c>
      <c r="C47" s="153">
        <f>VLOOKUP(A47,'THONG KE'!$B$7:$AC$200,28,0)</f>
        <v>0</v>
      </c>
      <c r="D47" s="102"/>
      <c r="E47" s="102"/>
      <c r="F47" s="102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</row>
    <row r="48" spans="1:242" ht="19.5" hidden="1" customHeight="1">
      <c r="A48" s="131" t="str">
        <f>'THONG KE'!B53</f>
        <v>Kim Kẹp Giấy Sắt C62</v>
      </c>
      <c r="B48" s="131" t="str">
        <f>'THONG KE'!C53</f>
        <v>hộp</v>
      </c>
      <c r="C48" s="153">
        <f>VLOOKUP(A48,'THONG KE'!$B$7:$AC$200,28,0)</f>
        <v>0</v>
      </c>
      <c r="D48" s="102"/>
      <c r="E48" s="102"/>
      <c r="F48" s="102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</row>
    <row r="49" spans="1:242" ht="19.5" hidden="1" customHeight="1">
      <c r="A49" s="131" t="str">
        <f>'THONG KE'!B54</f>
        <v>Khăn Trắng</v>
      </c>
      <c r="B49" s="131" t="str">
        <f>'THONG KE'!C54</f>
        <v>cái</v>
      </c>
      <c r="C49" s="153">
        <f>VLOOKUP(A49,'THONG KE'!$B$7:$AC$200,28,0)</f>
        <v>0</v>
      </c>
      <c r="D49" s="102"/>
      <c r="E49" s="102"/>
      <c r="F49" s="102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</row>
    <row r="50" spans="1:242" ht="19.5" hidden="1" customHeight="1">
      <c r="A50" s="131" t="str">
        <f>'THONG KE'!B55</f>
        <v>Kệ 3 Tầng Mica</v>
      </c>
      <c r="B50" s="131" t="str">
        <f>'THONG KE'!C55</f>
        <v>cái</v>
      </c>
      <c r="C50" s="153">
        <f>VLOOKUP(A50,'THONG KE'!$B$7:$AC$200,28,0)</f>
        <v>0</v>
      </c>
      <c r="D50" s="102"/>
      <c r="E50" s="102"/>
      <c r="F50" s="102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</row>
    <row r="51" spans="1:242" ht="19.5" hidden="1" customHeight="1">
      <c r="A51" s="131" t="str">
        <f>'THONG KE'!B56</f>
        <v>Kệ 2 Tầng Mica</v>
      </c>
      <c r="B51" s="131" t="str">
        <f>'THONG KE'!C56</f>
        <v>cái</v>
      </c>
      <c r="C51" s="153">
        <f>VLOOKUP(A51,'THONG KE'!$B$7:$AC$200,28,0)</f>
        <v>0</v>
      </c>
      <c r="D51" s="102"/>
      <c r="E51" s="102"/>
      <c r="F51" s="102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</row>
    <row r="52" spans="1:242" ht="19.5" customHeight="1">
      <c r="A52" s="131" t="str">
        <f>'THONG KE'!B57</f>
        <v>Kim Bấm 10 Plus</v>
      </c>
      <c r="B52" s="131" t="str">
        <f>'THONG KE'!C57</f>
        <v>hộp</v>
      </c>
      <c r="C52" s="153">
        <f>VLOOKUP(A52,'THONG KE'!$B$7:$AC$200,28,0)</f>
        <v>80</v>
      </c>
      <c r="D52" s="102"/>
      <c r="E52" s="102"/>
      <c r="F52" s="10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</row>
    <row r="53" spans="1:242" ht="19.5" customHeight="1">
      <c r="A53" s="131" t="str">
        <f>'THONG KE'!B58</f>
        <v>Kim Bấm 03 Plus</v>
      </c>
      <c r="B53" s="131" t="str">
        <f>'THONG KE'!C58</f>
        <v>hộp</v>
      </c>
      <c r="C53" s="153">
        <f>VLOOKUP(A53,'THONG KE'!$B$7:$AC$200,28,0)</f>
        <v>5</v>
      </c>
      <c r="D53" s="102"/>
      <c r="E53" s="102"/>
      <c r="F53" s="102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</row>
    <row r="54" spans="1:242" ht="19.5" hidden="1" customHeight="1">
      <c r="A54" s="131" t="str">
        <f>'THONG KE'!B59</f>
        <v xml:space="preserve">Ly nhựa 390ml </v>
      </c>
      <c r="B54" s="131" t="str">
        <f>'THONG KE'!C59</f>
        <v>cái</v>
      </c>
      <c r="C54" s="153">
        <f>VLOOKUP(A54,'THONG KE'!$B$7:$AC$200,28,0)</f>
        <v>0</v>
      </c>
      <c r="D54" s="102"/>
      <c r="E54" s="102"/>
      <c r="F54" s="102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</row>
    <row r="55" spans="1:242" ht="19.5" hidden="1" customHeight="1">
      <c r="A55" s="131" t="str">
        <f>'THONG KE'!B60</f>
        <v>Máy Tính Casio Js-120L/Jf-120</v>
      </c>
      <c r="B55" s="131" t="str">
        <f>'THONG KE'!C60</f>
        <v>cái</v>
      </c>
      <c r="C55" s="153">
        <f>VLOOKUP(A55,'THONG KE'!$B$7:$AC$200,28,0)</f>
        <v>0</v>
      </c>
      <c r="D55" s="102"/>
      <c r="E55" s="102"/>
      <c r="F55" s="102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</row>
    <row r="56" spans="1:242" ht="19.5" hidden="1" customHeight="1">
      <c r="A56" s="131" t="str">
        <f>'THONG KE'!B61</f>
        <v>Mực Viết Lông Dầu Artline (đen)</v>
      </c>
      <c r="B56" s="131" t="str">
        <f>'THONG KE'!C61</f>
        <v>hộp</v>
      </c>
      <c r="C56" s="153">
        <f>VLOOKUP(A56,'THONG KE'!$B$7:$AC$200,28,0)</f>
        <v>0</v>
      </c>
      <c r="D56" s="102"/>
      <c r="E56" s="102"/>
      <c r="F56" s="102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</row>
    <row r="57" spans="1:242" ht="19.5" customHeight="1">
      <c r="A57" s="131" t="str">
        <f>'THONG KE'!B62</f>
        <v>Mực Viết Lông Dầu Artline (đỏ)</v>
      </c>
      <c r="B57" s="131" t="str">
        <f>'THONG KE'!C62</f>
        <v>hộp</v>
      </c>
      <c r="C57" s="153">
        <f>VLOOKUP(A57,'THONG KE'!$B$7:$AC$200,28,0)</f>
        <v>3</v>
      </c>
      <c r="D57" s="102"/>
      <c r="E57" s="102"/>
      <c r="F57" s="102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</row>
    <row r="58" spans="1:242" ht="19.5" customHeight="1">
      <c r="A58" s="131" t="str">
        <f>'THONG KE'!B63</f>
        <v>Mực Shiny (đỏ)</v>
      </c>
      <c r="B58" s="131" t="str">
        <f>'THONG KE'!C63</f>
        <v>Lọ</v>
      </c>
      <c r="C58" s="153">
        <f>VLOOKUP(A58,'THONG KE'!$B$7:$AC$200,28,0)</f>
        <v>2</v>
      </c>
      <c r="D58" s="102"/>
      <c r="E58" s="102"/>
      <c r="F58" s="102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</row>
    <row r="59" spans="1:242" ht="19.5" hidden="1" customHeight="1">
      <c r="A59" s="131" t="str">
        <f>'THONG KE'!B64</f>
        <v>Mực viết lông bảng</v>
      </c>
      <c r="B59" s="131" t="str">
        <f>'THONG KE'!C64</f>
        <v>hộp</v>
      </c>
      <c r="C59" s="153">
        <f>VLOOKUP(A59,'THONG KE'!$B$7:$AC$200,28,0)</f>
        <v>0</v>
      </c>
      <c r="D59" s="102"/>
      <c r="E59" s="102"/>
      <c r="F59" s="102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</row>
    <row r="60" spans="1:242" ht="19.5" hidden="1" customHeight="1">
      <c r="A60" s="131" t="str">
        <f>'THONG KE'!B65</f>
        <v>Nhựa Ép Plastic A4 D9L 80</v>
      </c>
      <c r="B60" s="131" t="str">
        <f>'THONG KE'!C65</f>
        <v>hộp</v>
      </c>
      <c r="C60" s="153">
        <f>VLOOKUP(A60,'THONG KE'!$B$7:$AC$200,28,0)</f>
        <v>0</v>
      </c>
      <c r="D60" s="102"/>
      <c r="E60" s="102"/>
      <c r="F60" s="102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</row>
    <row r="61" spans="1:242" ht="19.5" hidden="1" customHeight="1">
      <c r="A61" s="131" t="str">
        <f>'THONG KE'!B66</f>
        <v>Nước rửa chén giặt khăn</v>
      </c>
      <c r="B61" s="131" t="str">
        <f>'THONG KE'!C66</f>
        <v>Chai</v>
      </c>
      <c r="C61" s="153">
        <f>VLOOKUP(A61,'THONG KE'!$B$7:$AC$200,28,0)</f>
        <v>0</v>
      </c>
      <c r="D61" s="102"/>
      <c r="E61" s="102"/>
      <c r="F61" s="102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</row>
    <row r="62" spans="1:242" ht="19.5" hidden="1" customHeight="1">
      <c r="A62" s="131" t="str">
        <f>'THONG KE'!B67</f>
        <v>Nước tẩy Sumo đa năng 700g</v>
      </c>
      <c r="B62" s="131" t="str">
        <f>'THONG KE'!C67</f>
        <v>chai</v>
      </c>
      <c r="C62" s="153">
        <f>VLOOKUP(A62,'THONG KE'!$B$7:$AC$200,28,0)</f>
        <v>0</v>
      </c>
      <c r="D62" s="102"/>
      <c r="E62" s="102"/>
      <c r="F62" s="10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</row>
    <row r="63" spans="1:242" ht="19.5" hidden="1" customHeight="1">
      <c r="A63" s="131" t="str">
        <f>'THONG KE'!B68</f>
        <v>Pin Con Ó 2A (thử đồ chơi)</v>
      </c>
      <c r="B63" s="131" t="str">
        <f>'THONG KE'!C68</f>
        <v>cục</v>
      </c>
      <c r="C63" s="153">
        <f>VLOOKUP(A63,'THONG KE'!$B$7:$AC$200,28,0)</f>
        <v>0</v>
      </c>
      <c r="D63" s="102"/>
      <c r="E63" s="102"/>
      <c r="F63" s="102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</row>
    <row r="64" spans="1:242" ht="19.5" hidden="1" customHeight="1">
      <c r="A64" s="131" t="str">
        <f>'THONG KE'!B69</f>
        <v>Ruột viết chì 0.5</v>
      </c>
      <c r="B64" s="131" t="str">
        <f>'THONG KE'!C69</f>
        <v>hộp</v>
      </c>
      <c r="C64" s="153">
        <f>VLOOKUP(A64,'THONG KE'!$B$7:$AC$200,28,0)</f>
        <v>0</v>
      </c>
      <c r="D64" s="102"/>
      <c r="E64" s="102"/>
      <c r="F64" s="102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</row>
    <row r="65" spans="1:242" ht="19.5" hidden="1" customHeight="1">
      <c r="A65" s="131" t="str">
        <f>'THONG KE'!B70</f>
        <v>Ruột viết chì 0.7</v>
      </c>
      <c r="B65" s="131" t="str">
        <f>'THONG KE'!C70</f>
        <v>hộp</v>
      </c>
      <c r="C65" s="153">
        <f>VLOOKUP(A65,'THONG KE'!$B$7:$AC$200,28,0)</f>
        <v>0</v>
      </c>
      <c r="D65" s="102"/>
      <c r="E65" s="102"/>
      <c r="F65" s="102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</row>
    <row r="66" spans="1:242" ht="19.5" customHeight="1">
      <c r="A66" s="131" t="str">
        <f>'THONG KE'!B71</f>
        <v>Sáp Đếm Tiền</v>
      </c>
      <c r="B66" s="131" t="str">
        <f>'THONG KE'!C71</f>
        <v>hộp</v>
      </c>
      <c r="C66" s="153">
        <f>VLOOKUP(A66,'THONG KE'!$B$7:$AC$200,28,0)</f>
        <v>2</v>
      </c>
      <c r="D66" s="102"/>
      <c r="E66" s="102"/>
      <c r="F66" s="102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</row>
    <row r="67" spans="1:242" ht="19.5" hidden="1" customHeight="1">
      <c r="A67" s="131" t="str">
        <f>'THONG KE'!B72</f>
        <v>Sổ Caro 25X35 Dày (cắt đầu)</v>
      </c>
      <c r="B67" s="131" t="str">
        <f>'THONG KE'!C72</f>
        <v>Cuốn</v>
      </c>
      <c r="C67" s="153">
        <f>VLOOKUP(A67,'THONG KE'!$B$7:$AC$200,28,0)</f>
        <v>0</v>
      </c>
      <c r="D67" s="102"/>
      <c r="E67" s="102"/>
      <c r="F67" s="102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</row>
    <row r="68" spans="1:242" ht="19.5" customHeight="1">
      <c r="A68" s="131" t="str">
        <f>'THONG KE'!B73</f>
        <v>Sổ Caro 30X40 Dày (cắt đầu)</v>
      </c>
      <c r="B68" s="131" t="str">
        <f>'THONG KE'!C73</f>
        <v>Cuốn</v>
      </c>
      <c r="C68" s="153">
        <f>VLOOKUP(A68,'THONG KE'!$B$7:$AC$200,28,0)</f>
        <v>2</v>
      </c>
      <c r="D68" s="102"/>
      <c r="E68" s="102"/>
      <c r="F68" s="102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</row>
    <row r="69" spans="1:242" ht="19.5" hidden="1" customHeight="1">
      <c r="A69" s="131" t="str">
        <f>'THONG KE'!B74</f>
        <v>Sổ ghi nhật ký (sổ trung cắt sẵn)</v>
      </c>
      <c r="B69" s="131" t="str">
        <f>'THONG KE'!C74</f>
        <v>Cuốn</v>
      </c>
      <c r="C69" s="153">
        <f>VLOOKUP(A69,'THONG KE'!$B$7:$AC$200,28,0)</f>
        <v>0</v>
      </c>
      <c r="D69" s="102"/>
      <c r="E69" s="102"/>
      <c r="F69" s="102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</row>
    <row r="70" spans="1:242" ht="19.5" hidden="1" customHeight="1">
      <c r="A70" s="131" t="str">
        <f>'THONG KE'!B75</f>
        <v xml:space="preserve">Tập 100 Trang </v>
      </c>
      <c r="B70" s="131" t="str">
        <f>'THONG KE'!C75</f>
        <v>cuốn</v>
      </c>
      <c r="C70" s="153">
        <f>VLOOKUP(A70,'THONG KE'!$B$7:$AC$200,28,0)</f>
        <v>0</v>
      </c>
      <c r="D70" s="102"/>
      <c r="E70" s="102"/>
      <c r="F70" s="102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</row>
    <row r="71" spans="1:242" ht="19.5" customHeight="1">
      <c r="A71" s="131" t="str">
        <f>'THONG KE'!B76</f>
        <v>Tập  200 trang</v>
      </c>
      <c r="B71" s="131" t="str">
        <f>'THONG KE'!C76</f>
        <v>cuốn</v>
      </c>
      <c r="C71" s="153">
        <f>VLOOKUP(A71,'THONG KE'!$B$7:$AC$200,28,0)</f>
        <v>2</v>
      </c>
      <c r="D71" s="102"/>
      <c r="E71" s="102"/>
      <c r="F71" s="102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</row>
    <row r="72" spans="1:242" ht="19.5" hidden="1" customHeight="1">
      <c r="A72" s="131" t="str">
        <f>'THONG KE'!B77</f>
        <v>Viết Lông Dầu Artline 700 (đỏ)</v>
      </c>
      <c r="B72" s="131" t="str">
        <f>'THONG KE'!C77</f>
        <v>cây</v>
      </c>
      <c r="C72" s="153">
        <f>VLOOKUP(A72,'THONG KE'!$B$7:$AC$200,28,0)</f>
        <v>0</v>
      </c>
      <c r="D72" s="102"/>
      <c r="E72" s="102"/>
      <c r="F72" s="10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</row>
    <row r="73" spans="1:242" ht="19.5" customHeight="1">
      <c r="A73" s="131" t="str">
        <f>'THONG KE'!B78</f>
        <v>Viết Lông Dầu Artline 700 (đen)</v>
      </c>
      <c r="B73" s="131" t="str">
        <f>'THONG KE'!C78</f>
        <v>cây</v>
      </c>
      <c r="C73" s="153">
        <f>VLOOKUP(A73,'THONG KE'!$B$7:$AC$200,28,0)</f>
        <v>3</v>
      </c>
      <c r="D73" s="102"/>
      <c r="E73" s="102"/>
      <c r="F73" s="102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</row>
    <row r="74" spans="1:242" ht="19.5" hidden="1" customHeight="1">
      <c r="A74" s="131" t="str">
        <f>'THONG KE'!B79</f>
        <v>Viết Lông Dầu Artline 725 (đen)</v>
      </c>
      <c r="B74" s="131" t="str">
        <f>'THONG KE'!C79</f>
        <v>cây</v>
      </c>
      <c r="C74" s="153">
        <f>VLOOKUP(A74,'THONG KE'!$B$7:$AC$200,28,0)</f>
        <v>0</v>
      </c>
      <c r="D74" s="102"/>
      <c r="E74" s="102"/>
      <c r="F74" s="102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</row>
    <row r="75" spans="1:242" ht="19.5" hidden="1" customHeight="1">
      <c r="A75" s="131" t="str">
        <f>'THONG KE'!B80</f>
        <v>Viết Lông Dầu Artline 725 (đỏ)</v>
      </c>
      <c r="B75" s="131" t="str">
        <f>'THONG KE'!C80</f>
        <v>cây</v>
      </c>
      <c r="C75" s="153">
        <f>VLOOKUP(A75,'THONG KE'!$B$7:$AC$200,28,0)</f>
        <v>0</v>
      </c>
      <c r="D75" s="102"/>
      <c r="E75" s="102"/>
      <c r="F75" s="102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</row>
    <row r="76" spans="1:242" ht="19.5" hidden="1" customHeight="1">
      <c r="A76" s="131" t="str">
        <f>'THONG KE'!B81</f>
        <v>Viết Lông Dầu Artline 90 (đen)</v>
      </c>
      <c r="B76" s="131" t="str">
        <f>'THONG KE'!C81</f>
        <v>cây</v>
      </c>
      <c r="C76" s="153">
        <f>VLOOKUP(A76,'THONG KE'!$B$7:$AC$200,28,0)</f>
        <v>0</v>
      </c>
      <c r="D76" s="102"/>
      <c r="E76" s="102"/>
      <c r="F76" s="102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</row>
    <row r="77" spans="1:242" ht="19.5" hidden="1" customHeight="1">
      <c r="A77" s="131" t="str">
        <f>'THONG KE'!B82</f>
        <v>Viết Lông Dầu Artline 90 (đỏ)</v>
      </c>
      <c r="B77" s="131" t="str">
        <f>'THONG KE'!C82</f>
        <v>cây</v>
      </c>
      <c r="C77" s="153">
        <f>VLOOKUP(A77,'THONG KE'!$B$7:$AC$200,28,0)</f>
        <v>0</v>
      </c>
      <c r="D77" s="102"/>
      <c r="E77" s="102"/>
      <c r="F77" s="102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</row>
    <row r="78" spans="1:242" ht="19.5" hidden="1" customHeight="1">
      <c r="A78" s="131" t="str">
        <f>'THONG KE'!B83</f>
        <v>Viết Bic Thiên Long 027 (đỏ)</v>
      </c>
      <c r="B78" s="131" t="str">
        <f>'THONG KE'!C83</f>
        <v>cây</v>
      </c>
      <c r="C78" s="153">
        <f>VLOOKUP(A78,'THONG KE'!$B$7:$AC$200,28,0)</f>
        <v>0</v>
      </c>
      <c r="D78" s="102"/>
      <c r="E78" s="102"/>
      <c r="F78" s="102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</row>
    <row r="79" spans="1:242" ht="19.5" hidden="1" customHeight="1">
      <c r="A79" s="131" t="str">
        <f>'THONG KE'!B84</f>
        <v>Viết Bic Thiên Long 027 (xanh)</v>
      </c>
      <c r="B79" s="131" t="str">
        <f>'THONG KE'!C84</f>
        <v>cây</v>
      </c>
      <c r="C79" s="153">
        <f>VLOOKUP(A79,'THONG KE'!$B$7:$AC$200,28,0)</f>
        <v>0</v>
      </c>
      <c r="D79" s="102"/>
      <c r="E79" s="102"/>
      <c r="F79" s="102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</row>
    <row r="80" spans="1:242" ht="19.5" hidden="1" customHeight="1">
      <c r="A80" s="131" t="str">
        <f>'THONG KE'!B85</f>
        <v>Viết Chì 2B Thiên Long</v>
      </c>
      <c r="B80" s="131" t="str">
        <f>'THONG KE'!C85</f>
        <v>cây</v>
      </c>
      <c r="C80" s="153">
        <f>VLOOKUP(A80,'THONG KE'!$B$7:$AC$200,28,0)</f>
        <v>0</v>
      </c>
      <c r="D80" s="102"/>
      <c r="E80" s="102"/>
      <c r="F80" s="102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</row>
    <row r="81" spans="1:242" ht="19.5" hidden="1" customHeight="1">
      <c r="A81" s="131" t="str">
        <f>'THONG KE'!B86</f>
        <v>Viết Chì Kim 0.5</v>
      </c>
      <c r="B81" s="131" t="str">
        <f>'THONG KE'!C86</f>
        <v>cây</v>
      </c>
      <c r="C81" s="153">
        <f>VLOOKUP(A81,'THONG KE'!$B$7:$AC$200,28,0)</f>
        <v>0</v>
      </c>
      <c r="D81" s="102"/>
      <c r="E81" s="102"/>
      <c r="F81" s="102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</row>
    <row r="82" spans="1:242" ht="19.5" hidden="1" customHeight="1">
      <c r="A82" s="131" t="str">
        <f>'THONG KE'!B87</f>
        <v>Viết Chì Kim 0.7</v>
      </c>
      <c r="B82" s="131" t="str">
        <f>'THONG KE'!C87</f>
        <v>cây</v>
      </c>
      <c r="C82" s="153">
        <f>VLOOKUP(A82,'THONG KE'!$B$7:$AC$200,28,0)</f>
        <v>0</v>
      </c>
      <c r="D82" s="102"/>
      <c r="E82" s="102"/>
      <c r="F82" s="10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</row>
    <row r="83" spans="1:242" ht="19.5" hidden="1" customHeight="1">
      <c r="A83" s="131" t="str">
        <f>'THONG KE'!B88</f>
        <v>Viết dạ quang hồng</v>
      </c>
      <c r="B83" s="131" t="str">
        <f>'THONG KE'!C88</f>
        <v>Cây</v>
      </c>
      <c r="C83" s="153">
        <f>VLOOKUP(A83,'THONG KE'!$B$7:$AC$200,28,0)</f>
        <v>0</v>
      </c>
      <c r="D83" s="102"/>
      <c r="E83" s="102"/>
      <c r="F83" s="102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</row>
    <row r="84" spans="1:242" ht="19.5" hidden="1" customHeight="1">
      <c r="A84" s="131" t="str">
        <f>'THONG KE'!B89</f>
        <v>Viết dạ quang vàng</v>
      </c>
      <c r="B84" s="131" t="str">
        <f>'THONG KE'!C89</f>
        <v>Cây</v>
      </c>
      <c r="C84" s="153">
        <f>VLOOKUP(A84,'THONG KE'!$B$7:$AC$200,28,0)</f>
        <v>0</v>
      </c>
      <c r="D84" s="102"/>
      <c r="E84" s="102"/>
      <c r="F84" s="102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</row>
    <row r="85" spans="1:242" ht="19.5" hidden="1" customHeight="1">
      <c r="A85" s="131" t="str">
        <f>'THONG KE'!B90</f>
        <v>Viết dây để bàn đôi Bến nghé</v>
      </c>
      <c r="B85" s="131" t="str">
        <f>'THONG KE'!C90</f>
        <v>bộ</v>
      </c>
      <c r="C85" s="153">
        <f>VLOOKUP(A85,'THONG KE'!$B$7:$AC$200,28,0)</f>
        <v>0</v>
      </c>
      <c r="D85" s="102"/>
      <c r="E85" s="102"/>
      <c r="F85" s="102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</row>
    <row r="86" spans="1:242" ht="19.5" hidden="1" customHeight="1">
      <c r="A86" s="131" t="str">
        <f>'THONG KE'!B91</f>
        <v>Viết dây để bàn đơn Bến nghé</v>
      </c>
      <c r="B86" s="131" t="str">
        <f>'THONG KE'!C91</f>
        <v>hộp</v>
      </c>
      <c r="C86" s="153">
        <f>VLOOKUP(A86,'THONG KE'!$B$7:$AC$200,28,0)</f>
        <v>0</v>
      </c>
      <c r="D86" s="102"/>
      <c r="E86" s="102"/>
      <c r="F86" s="102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</row>
    <row r="87" spans="1:242" ht="19.5" hidden="1" customHeight="1">
      <c r="A87" s="131" t="str">
        <f>'THONG KE'!B92</f>
        <v>Viết dây để bàn đơn Bến nghé</v>
      </c>
      <c r="B87" s="131" t="str">
        <f>'THONG KE'!C92</f>
        <v>hộp</v>
      </c>
      <c r="C87" s="153">
        <f>VLOOKUP(A87,'THONG KE'!$B$7:$AC$200,28,0)</f>
        <v>0</v>
      </c>
      <c r="D87" s="102"/>
      <c r="E87" s="102"/>
      <c r="F87" s="102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</row>
    <row r="88" spans="1:242" ht="19.5" hidden="1" customHeight="1">
      <c r="A88" s="131" t="str">
        <f>'THONG KE'!B93</f>
        <v>Viết dây để bàn đơn Bến nghé</v>
      </c>
      <c r="B88" s="131" t="str">
        <f>'THONG KE'!C93</f>
        <v>hộp</v>
      </c>
      <c r="C88" s="153">
        <f>VLOOKUP(A88,'THONG KE'!$B$7:$AC$200,28,0)</f>
        <v>0</v>
      </c>
      <c r="D88" s="102"/>
      <c r="E88" s="102"/>
      <c r="F88" s="102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</row>
    <row r="89" spans="1:242" ht="19.5" hidden="1" customHeight="1">
      <c r="A89" s="131" t="str">
        <f>'THONG KE'!B94</f>
        <v>Viết để bàn Thiên Long</v>
      </c>
      <c r="B89" s="131" t="str">
        <f>'THONG KE'!C94</f>
        <v>cây</v>
      </c>
      <c r="C89" s="153">
        <f>VLOOKUP(A89,'THONG KE'!$B$7:$AC$200,28,0)</f>
        <v>0</v>
      </c>
      <c r="D89" s="102"/>
      <c r="E89" s="102"/>
      <c r="F89" s="102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</row>
    <row r="90" spans="1:242" ht="19.5" hidden="1" customHeight="1">
      <c r="A90" s="131" t="str">
        <f>'THONG KE'!B95</f>
        <v>Viết lông bảng Maker đỏ</v>
      </c>
      <c r="B90" s="131" t="str">
        <f>'THONG KE'!C95</f>
        <v>Cây</v>
      </c>
      <c r="C90" s="153">
        <f>VLOOKUP(A90,'THONG KE'!$B$7:$AC$200,28,0)</f>
        <v>0</v>
      </c>
      <c r="D90" s="102"/>
      <c r="E90" s="102"/>
      <c r="F90" s="102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</row>
    <row r="91" spans="1:242" ht="19.5" hidden="1" customHeight="1">
      <c r="A91" s="131" t="str">
        <f>'THONG KE'!B96</f>
        <v>Viết Lông Dầu Apolo 777 (đỏ)</v>
      </c>
      <c r="B91" s="131" t="str">
        <f>'THONG KE'!C96</f>
        <v>cây</v>
      </c>
      <c r="C91" s="153">
        <f>VLOOKUP(A91,'THONG KE'!$B$7:$AC$200,28,0)</f>
        <v>0</v>
      </c>
      <c r="D91" s="102"/>
      <c r="E91" s="102"/>
      <c r="F91" s="102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</row>
    <row r="92" spans="1:242" ht="19.5" customHeight="1">
      <c r="A92" s="131" t="str">
        <f>'THONG KE'!B97</f>
        <v>Viết Lông Dầu Apolo Xanh 777</v>
      </c>
      <c r="B92" s="131" t="str">
        <f>'THONG KE'!C97</f>
        <v>cây</v>
      </c>
      <c r="C92" s="153">
        <f>VLOOKUP(A92,'THONG KE'!$B$7:$AC$200,28,0)</f>
        <v>10</v>
      </c>
      <c r="D92" s="102"/>
      <c r="E92" s="102"/>
      <c r="F92" s="10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</row>
    <row r="93" spans="1:242" ht="19.5" hidden="1" customHeight="1">
      <c r="A93" s="131" t="str">
        <f>'THONG KE'!B98</f>
        <v>Viết Xóa Thiên Long Cp-05</v>
      </c>
      <c r="B93" s="131" t="str">
        <f>'THONG KE'!C98</f>
        <v>cây</v>
      </c>
      <c r="C93" s="153">
        <f>VLOOKUP(A93,'THONG KE'!$B$7:$AC$200,28,0)</f>
        <v>0</v>
      </c>
      <c r="D93" s="102"/>
      <c r="E93" s="102"/>
      <c r="F93" s="102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</row>
    <row r="94" spans="1:242" ht="19.5" hidden="1" customHeight="1">
      <c r="A94" s="131" t="str">
        <f>'THONG KE'!B99</f>
        <v>Viết Lông Bảng Xanh Thiên Long</v>
      </c>
      <c r="B94" s="131" t="str">
        <f>'THONG KE'!C99</f>
        <v>cây</v>
      </c>
      <c r="C94" s="153">
        <f>VLOOKUP(A94,'THONG KE'!$B$7:$AC$200,28,0)</f>
        <v>0</v>
      </c>
      <c r="D94" s="102"/>
      <c r="E94" s="102"/>
      <c r="F94" s="102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</row>
    <row r="95" spans="1:242" ht="19.5" hidden="1" customHeight="1">
      <c r="A95" s="131" t="str">
        <f>'THONG KE'!B100</f>
        <v xml:space="preserve">Nước rửa kính Gift 580ml </v>
      </c>
      <c r="B95" s="131" t="str">
        <f>'THONG KE'!C100</f>
        <v>Chai</v>
      </c>
      <c r="C95" s="153">
        <f>VLOOKUP(A95,'THONG KE'!$B$7:$AC$200,28,0)</f>
        <v>0</v>
      </c>
      <c r="D95" s="102"/>
      <c r="E95" s="102"/>
      <c r="F95" s="102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</row>
    <row r="96" spans="1:242" ht="19.5" hidden="1" customHeight="1">
      <c r="A96" s="131" t="str">
        <f>'THONG KE'!B101</f>
        <v>Keo 502</v>
      </c>
      <c r="B96" s="131" t="str">
        <f>'THONG KE'!C101</f>
        <v>hộp</v>
      </c>
      <c r="C96" s="153">
        <f>VLOOKUP(A96,'THONG KE'!$B$7:$AC$200,28,0)</f>
        <v>0</v>
      </c>
      <c r="D96" s="102"/>
      <c r="E96" s="102"/>
      <c r="F96" s="102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</row>
    <row r="97" spans="1:242" ht="19.5" hidden="1" customHeight="1">
      <c r="A97" s="131" t="str">
        <f>'THONG KE'!B102</f>
        <v>Kẹp Bướm 19Mm</v>
      </c>
      <c r="B97" s="131" t="str">
        <f>'THONG KE'!C102</f>
        <v>hộp</v>
      </c>
      <c r="C97" s="153">
        <f>VLOOKUP(A97,'THONG KE'!$B$7:$AC$200,28,0)</f>
        <v>0</v>
      </c>
      <c r="D97" s="102"/>
      <c r="E97" s="102"/>
      <c r="F97" s="102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</row>
    <row r="98" spans="1:242" ht="19.5" hidden="1" customHeight="1">
      <c r="A98" s="131" t="str">
        <f>'THONG KE'!B103</f>
        <v>Kẹp Bướm 25Mm</v>
      </c>
      <c r="B98" s="131" t="str">
        <f>'THONG KE'!C103</f>
        <v>hộp</v>
      </c>
      <c r="C98" s="153">
        <f>VLOOKUP(A98,'THONG KE'!$B$7:$AC$200,28,0)</f>
        <v>0</v>
      </c>
      <c r="D98" s="102"/>
      <c r="E98" s="102"/>
      <c r="F98" s="102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</row>
    <row r="99" spans="1:242" ht="19.5" hidden="1" customHeight="1">
      <c r="A99" s="131" t="str">
        <f>'THONG KE'!B104</f>
        <v>Kẹp Bướm 32Mm</v>
      </c>
      <c r="B99" s="131" t="str">
        <f>'THONG KE'!C104</f>
        <v>hộp</v>
      </c>
      <c r="C99" s="153">
        <f>VLOOKUP(A99,'THONG KE'!$B$7:$AC$200,28,0)</f>
        <v>0</v>
      </c>
      <c r="D99" s="102"/>
      <c r="E99" s="102"/>
      <c r="F99" s="102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</row>
    <row r="100" spans="1:242" ht="19.5" hidden="1" customHeight="1">
      <c r="A100" s="131" t="str">
        <f>'THONG KE'!B105</f>
        <v>Kẹp Bướm 41Mm</v>
      </c>
      <c r="B100" s="131" t="str">
        <f>'THONG KE'!C105</f>
        <v>hộp</v>
      </c>
      <c r="C100" s="153">
        <f>VLOOKUP(A100,'THONG KE'!$B$7:$AC$200,28,0)</f>
        <v>0</v>
      </c>
      <c r="D100" s="102"/>
      <c r="E100" s="102"/>
      <c r="F100" s="102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</row>
    <row r="101" spans="1:242" ht="19.5" hidden="1" customHeight="1">
      <c r="A101" s="131" t="str">
        <f>'THONG KE'!B106</f>
        <v>Kẹp Bướm 51Mm</v>
      </c>
      <c r="B101" s="131" t="str">
        <f>'THONG KE'!C106</f>
        <v>hộp</v>
      </c>
      <c r="C101" s="153">
        <f>VLOOKUP(A101,'THONG KE'!$B$7:$AC$200,28,0)</f>
        <v>0</v>
      </c>
      <c r="D101" s="102"/>
      <c r="E101" s="102"/>
      <c r="F101" s="102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</row>
    <row r="102" spans="1:242" ht="19.5" hidden="1" customHeight="1">
      <c r="A102" s="131" t="str">
        <f>'THONG KE'!B107</f>
        <v>Ly Nhựa 411 140Ml</v>
      </c>
      <c r="B102" s="131" t="str">
        <f>'THONG KE'!C107</f>
        <v>Cái</v>
      </c>
      <c r="C102" s="153">
        <f>VLOOKUP(A102,'THONG KE'!$B$7:$AC$200,28,0)</f>
        <v>0</v>
      </c>
      <c r="D102" s="102"/>
      <c r="E102" s="102"/>
      <c r="F102" s="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</row>
    <row r="103" spans="1:242" ht="19.5" hidden="1" customHeight="1">
      <c r="A103" s="131" t="str">
        <f>'THONG KE'!B108</f>
        <v>Chỗi nylon trung</v>
      </c>
      <c r="B103" s="131" t="str">
        <f>'THONG KE'!C108</f>
        <v>cây</v>
      </c>
      <c r="C103" s="153">
        <f>VLOOKUP(A103,'THONG KE'!$B$7:$AC$200,28,0)</f>
        <v>0</v>
      </c>
      <c r="D103" s="102"/>
      <c r="E103" s="102"/>
      <c r="F103" s="102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</row>
    <row r="104" spans="1:242" ht="19.5" hidden="1" customHeight="1">
      <c r="A104" s="131" t="str">
        <f>'THONG KE'!B109</f>
        <v>Bao Thư Cửa Sổ 12X22</v>
      </c>
      <c r="B104" s="131" t="str">
        <f>'THONG KE'!C109</f>
        <v>Cái</v>
      </c>
      <c r="C104" s="153">
        <f>VLOOKUP(A104,'THONG KE'!$B$7:$AC$200,28,0)</f>
        <v>0</v>
      </c>
      <c r="D104" s="102"/>
      <c r="E104" s="102"/>
      <c r="F104" s="102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</row>
    <row r="105" spans="1:242" ht="19.5" hidden="1" customHeight="1">
      <c r="A105" s="131" t="str">
        <f>'THONG KE'!B110</f>
        <v>Bao Thư Trắng 12X22-80G/M2</v>
      </c>
      <c r="B105" s="131" t="str">
        <f>'THONG KE'!C110</f>
        <v>Cái</v>
      </c>
      <c r="C105" s="153">
        <f>VLOOKUP(A105,'THONG KE'!$B$7:$AC$200,28,0)</f>
        <v>0</v>
      </c>
      <c r="D105" s="102"/>
      <c r="E105" s="102"/>
      <c r="F105" s="102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</row>
    <row r="106" spans="1:242" ht="19.5" hidden="1" customHeight="1">
      <c r="A106" s="131" t="str">
        <f>'THONG KE'!B111</f>
        <v>Bao Thư Trắng 25X35-80G/M2</v>
      </c>
      <c r="B106" s="131" t="str">
        <f>'THONG KE'!C111</f>
        <v>Cái</v>
      </c>
      <c r="C106" s="153">
        <f>VLOOKUP(A106,'THONG KE'!$B$7:$AC$200,28,0)</f>
        <v>0</v>
      </c>
      <c r="D106" s="102"/>
      <c r="E106" s="102"/>
      <c r="F106" s="102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</row>
    <row r="107" spans="1:242" ht="19.5" hidden="1" customHeight="1">
      <c r="A107" s="131" t="str">
        <f>'THONG KE'!B112</f>
        <v>Bao Thư Trắng A5</v>
      </c>
      <c r="B107" s="131" t="str">
        <f>'THONG KE'!C112</f>
        <v>Cái</v>
      </c>
      <c r="C107" s="153">
        <f>VLOOKUP(A107,'THONG KE'!$B$7:$AC$200,28,0)</f>
        <v>0</v>
      </c>
      <c r="D107" s="102"/>
      <c r="E107" s="102"/>
      <c r="F107" s="102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</row>
    <row r="108" spans="1:242" s="124" customFormat="1" ht="19.5" hidden="1" customHeight="1">
      <c r="A108" s="131" t="str">
        <f>'THONG KE'!B113</f>
        <v>Ly nhựa nhỏ Tân Hiệp Hưng 399</v>
      </c>
      <c r="B108" s="131" t="str">
        <f>'THONG KE'!C113</f>
        <v>cái</v>
      </c>
      <c r="C108" s="153">
        <f>VLOOKUP(A108,'THONG KE'!$B$7:$AC$200,28,0)</f>
        <v>0</v>
      </c>
      <c r="D108" s="102"/>
      <c r="E108" s="102"/>
      <c r="F108" s="102"/>
      <c r="G108" s="125"/>
      <c r="H108" s="125"/>
    </row>
    <row r="109" spans="1:242" s="124" customFormat="1" ht="19.5" customHeight="1">
      <c r="A109" s="131" t="str">
        <f>'THONG KE'!B114</f>
        <v>băng keo 2.5p 100 yard</v>
      </c>
      <c r="B109" s="131" t="str">
        <f>'THONG KE'!C114</f>
        <v>cuộn</v>
      </c>
      <c r="C109" s="153">
        <f>VLOOKUP(A109,'THONG KE'!$B$7:$AC$200,28,0)</f>
        <v>10</v>
      </c>
      <c r="D109" s="102"/>
      <c r="E109" s="102"/>
      <c r="F109" s="102"/>
      <c r="G109" s="125"/>
      <c r="H109" s="125"/>
    </row>
    <row r="110" spans="1:242" s="124" customFormat="1" ht="19.5" hidden="1" customHeight="1">
      <c r="A110" s="131" t="str">
        <f>'THONG KE'!B115</f>
        <v>Cana đánh bóng 220g</v>
      </c>
      <c r="B110" s="131" t="str">
        <f>'THONG KE'!C115</f>
        <v>hộp</v>
      </c>
      <c r="C110" s="153">
        <f>VLOOKUP(A110,'THONG KE'!$B$7:$AC$200,28,0)</f>
        <v>0</v>
      </c>
      <c r="D110" s="102"/>
      <c r="E110" s="102"/>
      <c r="F110" s="102"/>
      <c r="G110" s="125"/>
      <c r="H110" s="125"/>
    </row>
    <row r="111" spans="1:242" ht="15.75" hidden="1" customHeight="1">
      <c r="A111" s="131" t="str">
        <f>'THONG KE'!B116</f>
        <v>Rổ xéo nhựa 1 ngăn - xanh dương</v>
      </c>
      <c r="B111" s="131" t="str">
        <f>'THONG KE'!C116</f>
        <v>cái</v>
      </c>
      <c r="C111" s="153">
        <f>VLOOKUP(A111,'THONG KE'!$B$7:$AC$200,28,0)</f>
        <v>0</v>
      </c>
      <c r="D111" s="102"/>
      <c r="E111" s="102"/>
      <c r="F111" s="102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</row>
    <row r="112" spans="1:242" s="124" customFormat="1" ht="15.75" hidden="1" customHeight="1">
      <c r="A112" s="131" t="str">
        <f>'THONG KE'!B117</f>
        <v>Bút lông dầu Artline EK 100 đen</v>
      </c>
      <c r="B112" s="131" t="str">
        <f>'THONG KE'!C117</f>
        <v>cây</v>
      </c>
      <c r="C112" s="153">
        <f>VLOOKUP(A112,'THONG KE'!$B$7:$AC$200,28,0)</f>
        <v>0</v>
      </c>
      <c r="D112" s="102"/>
      <c r="E112" s="102"/>
      <c r="F112" s="102"/>
    </row>
    <row r="113" spans="1:6" s="124" customFormat="1" ht="15.75" hidden="1" customHeight="1">
      <c r="A113" s="131" t="str">
        <f>'THONG KE'!B118</f>
        <v>Bút lông dầu Artline EK 100 đỏ</v>
      </c>
      <c r="B113" s="131" t="str">
        <f>'THONG KE'!C118</f>
        <v>cây</v>
      </c>
      <c r="C113" s="153">
        <f>VLOOKUP(A113,'THONG KE'!$B$7:$AC$200,28,0)</f>
        <v>0</v>
      </c>
      <c r="D113" s="102"/>
      <c r="E113" s="102"/>
      <c r="F113" s="102"/>
    </row>
    <row r="114" spans="1:6" s="124" customFormat="1" ht="15.75" hidden="1" customHeight="1">
      <c r="A114" s="131" t="str">
        <f>'THONG KE'!B119</f>
        <v>Giấy gói quà</v>
      </c>
      <c r="B114" s="131" t="str">
        <f>'THONG KE'!C119</f>
        <v>tờ</v>
      </c>
      <c r="C114" s="153">
        <f>VLOOKUP(A114,'THONG KE'!$B$7:$AC$200,28,0)</f>
        <v>0</v>
      </c>
      <c r="D114" s="102"/>
      <c r="E114" s="102"/>
      <c r="F114" s="102"/>
    </row>
    <row r="115" spans="1:6" s="124" customFormat="1" ht="15.75" customHeight="1">
      <c r="A115" s="131" t="str">
        <f>'THONG KE'!B120</f>
        <v>Dây thun</v>
      </c>
      <c r="B115" s="131" t="str">
        <f>'THONG KE'!C120</f>
        <v>bịch</v>
      </c>
      <c r="C115" s="153">
        <f>VLOOKUP(A115,'THONG KE'!$B$7:$AC$200,28,0)</f>
        <v>2</v>
      </c>
      <c r="D115" s="102"/>
      <c r="E115" s="102"/>
      <c r="F115" s="102"/>
    </row>
    <row r="116" spans="1:6" s="124" customFormat="1" ht="15.75" hidden="1" customHeight="1">
      <c r="A116" s="131" t="str">
        <f>'THONG KE'!B121</f>
        <v>Khay 2 tầng mica</v>
      </c>
      <c r="B116" s="131" t="str">
        <f>'THONG KE'!C121</f>
        <v>bộ</v>
      </c>
      <c r="C116" s="153">
        <f>VLOOKUP(A116,'THONG KE'!$B$7:$AC$200,28,0)</f>
        <v>0</v>
      </c>
      <c r="D116" s="102"/>
      <c r="E116" s="102"/>
      <c r="F116" s="102"/>
    </row>
    <row r="117" spans="1:6" s="124" customFormat="1" ht="15.75" hidden="1" customHeight="1">
      <c r="A117" s="131" t="str">
        <f>'THONG KE'!B122</f>
        <v>Khay 3 tầng mica</v>
      </c>
      <c r="B117" s="131" t="str">
        <f>'THONG KE'!C122</f>
        <v>bộ</v>
      </c>
      <c r="C117" s="153">
        <f>VLOOKUP(A117,'THONG KE'!$B$7:$AC$200,28,0)</f>
        <v>0</v>
      </c>
      <c r="D117" s="102"/>
      <c r="E117" s="102"/>
      <c r="F117" s="102"/>
    </row>
    <row r="118" spans="1:6" s="124" customFormat="1" ht="15.75" hidden="1" customHeight="1">
      <c r="A118" s="131" t="str">
        <f>'THONG KE'!B123</f>
        <v>Nơ rút gói quà loại nhỏ</v>
      </c>
      <c r="B118" s="131" t="str">
        <f>'THONG KE'!C123</f>
        <v>cái</v>
      </c>
      <c r="C118" s="153">
        <f>VLOOKUP(A118,'THONG KE'!$B$7:$AC$200,28,0)</f>
        <v>0</v>
      </c>
      <c r="D118" s="102"/>
      <c r="E118" s="102"/>
      <c r="F118" s="102"/>
    </row>
    <row r="119" spans="1:6" s="124" customFormat="1" ht="15.75" hidden="1" customHeight="1">
      <c r="A119" s="131" t="str">
        <f>'THONG KE'!B124</f>
        <v>Nơ rút gói quà loại trung</v>
      </c>
      <c r="B119" s="131" t="str">
        <f>'THONG KE'!C124</f>
        <v>cái</v>
      </c>
      <c r="C119" s="153">
        <f>VLOOKUP(A119,'THONG KE'!$B$7:$AC$200,28,0)</f>
        <v>0</v>
      </c>
      <c r="D119" s="102"/>
      <c r="E119" s="102"/>
      <c r="F119" s="102"/>
    </row>
    <row r="120" spans="1:6" s="124" customFormat="1" ht="15.75" hidden="1" customHeight="1">
      <c r="A120" s="131" t="str">
        <f>'THONG KE'!B125</f>
        <v>Nơ rút gói quà loại lớn</v>
      </c>
      <c r="B120" s="131" t="str">
        <f>'THONG KE'!C125</f>
        <v>cái</v>
      </c>
      <c r="C120" s="153">
        <f>VLOOKUP(A120,'THONG KE'!$B$7:$AC$200,28,0)</f>
        <v>0</v>
      </c>
      <c r="D120" s="102"/>
      <c r="E120" s="102"/>
      <c r="F120" s="102"/>
    </row>
    <row r="121" spans="1:6" s="124" customFormat="1" ht="15.75" hidden="1" customHeight="1">
      <c r="A121" s="131" t="str">
        <f>'THONG KE'!B126</f>
        <v>Giấy phân trang</v>
      </c>
      <c r="B121" s="131" t="str">
        <f>'THONG KE'!C126</f>
        <v>xấp</v>
      </c>
      <c r="C121" s="153">
        <f>VLOOKUP(A121,'THONG KE'!$B$7:$AC$200,28,0)</f>
        <v>0</v>
      </c>
      <c r="D121" s="102"/>
      <c r="E121" s="102"/>
      <c r="F121" s="102"/>
    </row>
    <row r="122" spans="1:6" s="124" customFormat="1" ht="15.75" hidden="1" customHeight="1">
      <c r="A122" s="131" t="str">
        <f>'THONG KE'!B127</f>
        <v>Cây ghim giấy</v>
      </c>
      <c r="B122" s="131" t="str">
        <f>'THONG KE'!C127</f>
        <v>cây</v>
      </c>
      <c r="C122" s="153">
        <f>VLOOKUP(A122,'THONG KE'!$B$7:$AC$200,28,0)</f>
        <v>0</v>
      </c>
      <c r="D122" s="102"/>
      <c r="E122" s="102"/>
      <c r="F122" s="102"/>
    </row>
    <row r="123" spans="1:6" s="124" customFormat="1" ht="15.75" customHeight="1">
      <c r="A123" s="131" t="str">
        <f>'THONG KE'!B128</f>
        <v>Lưỡi dao rọc giấy nhỏ (10 lưỡi)</v>
      </c>
      <c r="B123" s="131" t="str">
        <f>'THONG KE'!C128</f>
        <v>hộp</v>
      </c>
      <c r="C123" s="153">
        <f>VLOOKUP(A123,'THONG KE'!$B$7:$AC$200,28,0)</f>
        <v>3</v>
      </c>
      <c r="D123" s="102"/>
      <c r="E123" s="102"/>
      <c r="F123" s="102"/>
    </row>
    <row r="124" spans="1:6" s="124" customFormat="1" ht="15.75" customHeight="1">
      <c r="A124" s="131" t="str">
        <f>'THONG KE'!B129</f>
        <v>Lưỡi dao rọc giấy lớn (10 lưỡi)</v>
      </c>
      <c r="B124" s="131" t="str">
        <f>'THONG KE'!C129</f>
        <v>hộp</v>
      </c>
      <c r="C124" s="153">
        <f>VLOOKUP(A124,'THONG KE'!$B$7:$AC$200,28,0)</f>
        <v>3</v>
      </c>
      <c r="D124" s="102"/>
      <c r="E124" s="102"/>
      <c r="F124" s="102"/>
    </row>
    <row r="125" spans="1:6" s="124" customFormat="1" ht="15.75" hidden="1" customHeight="1">
      <c r="A125" s="131">
        <f>'THONG KE'!B130</f>
        <v>0</v>
      </c>
      <c r="B125" s="131">
        <f>'THONG KE'!C130</f>
        <v>0</v>
      </c>
      <c r="C125" s="153">
        <f>VLOOKUP(A125,'THONG KE'!$B$7:$AC$200,28,0)</f>
        <v>0</v>
      </c>
      <c r="D125" s="102"/>
      <c r="E125" s="102"/>
      <c r="F125" s="102"/>
    </row>
    <row r="126" spans="1:6" s="124" customFormat="1" ht="15.75" hidden="1" customHeight="1">
      <c r="A126" s="131">
        <f>'THONG KE'!B131</f>
        <v>0</v>
      </c>
      <c r="B126" s="131">
        <f>'THONG KE'!C131</f>
        <v>0</v>
      </c>
      <c r="C126" s="153">
        <f>VLOOKUP(A126,'THONG KE'!$B$7:$AC$200,28,0)</f>
        <v>0</v>
      </c>
      <c r="D126" s="102"/>
      <c r="E126" s="102"/>
      <c r="F126" s="102"/>
    </row>
    <row r="127" spans="1:6" s="124" customFormat="1" ht="15.75" hidden="1" customHeight="1">
      <c r="A127" s="131">
        <f>'THONG KE'!B132</f>
        <v>0</v>
      </c>
      <c r="B127" s="131">
        <f>'THONG KE'!C132</f>
        <v>0</v>
      </c>
      <c r="C127" s="153">
        <f>VLOOKUP(A127,'THONG KE'!$B$7:$AC$200,28,0)</f>
        <v>0</v>
      </c>
      <c r="D127" s="102"/>
      <c r="E127" s="102"/>
      <c r="F127" s="102"/>
    </row>
    <row r="128" spans="1:6" s="124" customFormat="1" ht="15.75" hidden="1" customHeight="1">
      <c r="A128" s="131">
        <f>'THONG KE'!B133</f>
        <v>0</v>
      </c>
      <c r="B128" s="131">
        <f>'THONG KE'!C133</f>
        <v>0</v>
      </c>
      <c r="C128" s="153">
        <f>VLOOKUP(A128,'THONG KE'!$B$7:$AC$200,28,0)</f>
        <v>0</v>
      </c>
      <c r="D128" s="102"/>
      <c r="E128" s="102"/>
      <c r="F128" s="102"/>
    </row>
    <row r="129" spans="1:6" s="124" customFormat="1" ht="15.75" hidden="1" customHeight="1">
      <c r="A129" s="131">
        <f>'THONG KE'!B134</f>
        <v>0</v>
      </c>
      <c r="B129" s="131">
        <f>'THONG KE'!C134</f>
        <v>0</v>
      </c>
      <c r="C129" s="153">
        <f>VLOOKUP(A129,'THONG KE'!$B$7:$AC$200,28,0)</f>
        <v>0</v>
      </c>
      <c r="D129" s="102"/>
      <c r="E129" s="102"/>
      <c r="F129" s="102"/>
    </row>
    <row r="130" spans="1:6" s="124" customFormat="1" ht="15.75" hidden="1" customHeight="1">
      <c r="A130" s="131">
        <f>'THONG KE'!B135</f>
        <v>0</v>
      </c>
      <c r="B130" s="131">
        <f>'THONG KE'!C135</f>
        <v>0</v>
      </c>
      <c r="C130" s="153">
        <f>VLOOKUP(A130,'THONG KE'!$B$7:$AC$200,28,0)</f>
        <v>0</v>
      </c>
      <c r="D130" s="102"/>
      <c r="E130" s="102"/>
      <c r="F130" s="102"/>
    </row>
    <row r="131" spans="1:6" s="124" customFormat="1" ht="15.75" hidden="1" customHeight="1">
      <c r="A131" s="131">
        <f>'THONG KE'!B136</f>
        <v>0</v>
      </c>
      <c r="B131" s="131">
        <f>'THONG KE'!C136</f>
        <v>0</v>
      </c>
      <c r="C131" s="153">
        <f>VLOOKUP(A131,'THONG KE'!$B$7:$AC$200,28,0)</f>
        <v>0</v>
      </c>
      <c r="D131" s="102"/>
      <c r="E131" s="102"/>
      <c r="F131" s="102"/>
    </row>
    <row r="132" spans="1:6" s="124" customFormat="1" ht="15.75" hidden="1" customHeight="1">
      <c r="A132" s="131">
        <f>'THONG KE'!B137</f>
        <v>0</v>
      </c>
      <c r="B132" s="131">
        <f>'THONG KE'!C137</f>
        <v>0</v>
      </c>
      <c r="C132" s="153">
        <f>VLOOKUP(A132,'THONG KE'!$B$7:$AC$200,28,0)</f>
        <v>0</v>
      </c>
      <c r="D132" s="102"/>
      <c r="E132" s="102"/>
      <c r="F132" s="102"/>
    </row>
    <row r="133" spans="1:6" s="124" customFormat="1" ht="15.75" hidden="1" customHeight="1">
      <c r="A133" s="131">
        <f>'THONG KE'!B138</f>
        <v>0</v>
      </c>
      <c r="B133" s="131">
        <f>'THONG KE'!C138</f>
        <v>0</v>
      </c>
      <c r="C133" s="153">
        <f>VLOOKUP(A133,'THONG KE'!$B$7:$AC$200,28,0)</f>
        <v>0</v>
      </c>
      <c r="D133" s="102"/>
      <c r="E133" s="102"/>
      <c r="F133" s="102"/>
    </row>
    <row r="134" spans="1:6" s="124" customFormat="1" ht="15.75" hidden="1" customHeight="1">
      <c r="A134" s="131">
        <f>'THONG KE'!B139</f>
        <v>0</v>
      </c>
      <c r="B134" s="131">
        <f>'THONG KE'!C139</f>
        <v>0</v>
      </c>
      <c r="C134" s="153">
        <f>VLOOKUP(A134,'THONG KE'!$B$7:$AC$200,28,0)</f>
        <v>0</v>
      </c>
      <c r="D134" s="102"/>
      <c r="E134" s="102"/>
      <c r="F134" s="102"/>
    </row>
    <row r="135" spans="1:6" s="124" customFormat="1" ht="15.75" hidden="1" customHeight="1">
      <c r="A135" s="131">
        <f>'THONG KE'!B140</f>
        <v>0</v>
      </c>
      <c r="B135" s="131">
        <f>'THONG KE'!C140</f>
        <v>0</v>
      </c>
      <c r="C135" s="153">
        <f>VLOOKUP(A135,'THONG KE'!$B$7:$AC$200,28,0)</f>
        <v>0</v>
      </c>
      <c r="D135" s="102"/>
      <c r="E135" s="102"/>
      <c r="F135" s="102"/>
    </row>
    <row r="136" spans="1:6" s="124" customFormat="1" ht="15.75" hidden="1" customHeight="1">
      <c r="A136" s="131">
        <f>'THONG KE'!B141</f>
        <v>0</v>
      </c>
      <c r="B136" s="131">
        <f>'THONG KE'!C141</f>
        <v>0</v>
      </c>
      <c r="C136" s="153">
        <f>VLOOKUP(A136,'THONG KE'!$B$7:$AC$200,28,0)</f>
        <v>0</v>
      </c>
      <c r="D136" s="102"/>
      <c r="E136" s="102"/>
      <c r="F136" s="102"/>
    </row>
    <row r="137" spans="1:6" s="124" customFormat="1" ht="15.75" hidden="1" customHeight="1">
      <c r="A137" s="131">
        <f>'THONG KE'!B142</f>
        <v>0</v>
      </c>
      <c r="B137" s="131">
        <f>'THONG KE'!C142</f>
        <v>0</v>
      </c>
      <c r="C137" s="153">
        <f>VLOOKUP(A137,'THONG KE'!$B$7:$AC$200,28,0)</f>
        <v>0</v>
      </c>
      <c r="D137" s="102"/>
      <c r="E137" s="102"/>
      <c r="F137" s="102"/>
    </row>
    <row r="138" spans="1:6" s="124" customFormat="1" ht="15.75" hidden="1" customHeight="1">
      <c r="A138" s="131">
        <f>'THONG KE'!B143</f>
        <v>0</v>
      </c>
      <c r="B138" s="131">
        <f>'THONG KE'!C143</f>
        <v>0</v>
      </c>
      <c r="C138" s="153">
        <f>VLOOKUP(A138,'THONG KE'!$B$7:$AC$200,28,0)</f>
        <v>0</v>
      </c>
      <c r="D138" s="102"/>
      <c r="E138" s="102"/>
      <c r="F138" s="102"/>
    </row>
    <row r="139" spans="1:6" s="124" customFormat="1" ht="15.75" hidden="1" customHeight="1">
      <c r="A139" s="131">
        <f>'THONG KE'!B144</f>
        <v>0</v>
      </c>
      <c r="B139" s="131">
        <f>'THONG KE'!C144</f>
        <v>0</v>
      </c>
      <c r="C139" s="153">
        <f>VLOOKUP(A139,'THONG KE'!$B$7:$AC$200,28,0)</f>
        <v>0</v>
      </c>
      <c r="D139" s="102"/>
      <c r="E139" s="102"/>
      <c r="F139" s="102"/>
    </row>
    <row r="140" spans="1:6" s="124" customFormat="1" ht="15.75" hidden="1" customHeight="1">
      <c r="A140" s="131">
        <f>'THONG KE'!B145</f>
        <v>0</v>
      </c>
      <c r="B140" s="131">
        <f>'THONG KE'!C145</f>
        <v>0</v>
      </c>
      <c r="C140" s="153">
        <f>VLOOKUP(A140,'THONG KE'!$B$7:$AC$200,28,0)</f>
        <v>0</v>
      </c>
      <c r="D140" s="102"/>
      <c r="E140" s="102"/>
      <c r="F140" s="102"/>
    </row>
    <row r="141" spans="1:6" s="124" customFormat="1" ht="15.75" hidden="1" customHeight="1">
      <c r="A141" s="131">
        <f>'THONG KE'!B146</f>
        <v>0</v>
      </c>
      <c r="B141" s="131">
        <f>'THONG KE'!C146</f>
        <v>0</v>
      </c>
      <c r="C141" s="153">
        <f>VLOOKUP(A141,'THONG KE'!$B$7:$AC$200,28,0)</f>
        <v>0</v>
      </c>
      <c r="D141" s="102"/>
      <c r="E141" s="102"/>
      <c r="F141" s="102"/>
    </row>
    <row r="142" spans="1:6" s="124" customFormat="1" ht="15.75" hidden="1" customHeight="1">
      <c r="A142" s="131">
        <f>'THONG KE'!B147</f>
        <v>0</v>
      </c>
      <c r="B142" s="131">
        <f>'THONG KE'!C147</f>
        <v>0</v>
      </c>
      <c r="C142" s="153">
        <f>VLOOKUP(A142,'THONG KE'!$B$7:$AC$200,28,0)</f>
        <v>0</v>
      </c>
      <c r="D142" s="102"/>
      <c r="E142" s="102"/>
      <c r="F142" s="102"/>
    </row>
    <row r="143" spans="1:6" s="124" customFormat="1" ht="15.75" hidden="1" customHeight="1">
      <c r="A143" s="131">
        <f>'THONG KE'!B148</f>
        <v>0</v>
      </c>
      <c r="B143" s="131">
        <f>'THONG KE'!C148</f>
        <v>0</v>
      </c>
      <c r="C143" s="153">
        <f>VLOOKUP(A143,'THONG KE'!$B$7:$AC$200,28,0)</f>
        <v>0</v>
      </c>
      <c r="D143" s="102"/>
      <c r="E143" s="102"/>
      <c r="F143" s="102"/>
    </row>
    <row r="144" spans="1:6" s="124" customFormat="1" ht="15.75" hidden="1" customHeight="1">
      <c r="A144" s="131">
        <f>'THONG KE'!B149</f>
        <v>0</v>
      </c>
      <c r="B144" s="131">
        <f>'THONG KE'!C149</f>
        <v>0</v>
      </c>
      <c r="C144" s="153">
        <f>VLOOKUP(A144,'THONG KE'!$B$7:$AC$200,28,0)</f>
        <v>0</v>
      </c>
      <c r="D144" s="102"/>
      <c r="E144" s="102"/>
      <c r="F144" s="102"/>
    </row>
    <row r="145" spans="1:6" s="124" customFormat="1" ht="15.75" hidden="1" customHeight="1">
      <c r="A145" s="131">
        <f>'THONG KE'!B150</f>
        <v>0</v>
      </c>
      <c r="B145" s="131">
        <f>'THONG KE'!C150</f>
        <v>0</v>
      </c>
      <c r="C145" s="153">
        <f>VLOOKUP(A145,'THONG KE'!$B$7:$AC$200,28,0)</f>
        <v>0</v>
      </c>
      <c r="D145" s="102"/>
      <c r="E145" s="102"/>
      <c r="F145" s="102"/>
    </row>
    <row r="146" spans="1:6" s="124" customFormat="1" ht="15.75" hidden="1" customHeight="1">
      <c r="A146" s="131">
        <f>'THONG KE'!B151</f>
        <v>0</v>
      </c>
      <c r="B146" s="131">
        <f>'THONG KE'!C151</f>
        <v>0</v>
      </c>
      <c r="C146" s="153">
        <f>VLOOKUP(A146,'THONG KE'!$B$7:$AC$200,28,0)</f>
        <v>0</v>
      </c>
      <c r="D146" s="102"/>
      <c r="E146" s="102"/>
      <c r="F146" s="102"/>
    </row>
    <row r="147" spans="1:6" s="124" customFormat="1" ht="15.75" hidden="1" customHeight="1">
      <c r="A147" s="131">
        <f>'THONG KE'!B152</f>
        <v>0</v>
      </c>
      <c r="B147" s="131">
        <f>'THONG KE'!C152</f>
        <v>0</v>
      </c>
      <c r="C147" s="153">
        <f>VLOOKUP(A147,'THONG KE'!$B$7:$AC$200,28,0)</f>
        <v>0</v>
      </c>
      <c r="D147" s="102"/>
      <c r="E147" s="102"/>
      <c r="F147" s="102"/>
    </row>
    <row r="148" spans="1:6" s="124" customFormat="1" ht="15.75" hidden="1" customHeight="1">
      <c r="A148" s="131">
        <f>'THONG KE'!B153</f>
        <v>0</v>
      </c>
      <c r="B148" s="131">
        <f>'THONG KE'!C153</f>
        <v>0</v>
      </c>
      <c r="C148" s="153">
        <f>VLOOKUP(A148,'THONG KE'!$B$7:$AC$200,28,0)</f>
        <v>0</v>
      </c>
      <c r="D148" s="102"/>
      <c r="E148" s="102"/>
      <c r="F148" s="102"/>
    </row>
    <row r="149" spans="1:6" s="124" customFormat="1" ht="15.75" hidden="1" customHeight="1">
      <c r="A149" s="131">
        <f>'THONG KE'!B154</f>
        <v>0</v>
      </c>
      <c r="B149" s="131">
        <f>'THONG KE'!C154</f>
        <v>0</v>
      </c>
      <c r="C149" s="153">
        <f>VLOOKUP(A149,'THONG KE'!$B$7:$AC$200,28,0)</f>
        <v>0</v>
      </c>
      <c r="D149" s="102"/>
      <c r="E149" s="102"/>
      <c r="F149" s="102"/>
    </row>
    <row r="150" spans="1:6" s="124" customFormat="1" ht="15.75" hidden="1" customHeight="1">
      <c r="A150" s="131">
        <f>'THONG KE'!B155</f>
        <v>0</v>
      </c>
      <c r="B150" s="131">
        <f>'THONG KE'!C155</f>
        <v>0</v>
      </c>
      <c r="C150" s="153">
        <f>VLOOKUP(A150,'THONG KE'!$B$7:$AC$200,28,0)</f>
        <v>0</v>
      </c>
      <c r="D150" s="102"/>
      <c r="E150" s="102"/>
      <c r="F150" s="102"/>
    </row>
    <row r="151" spans="1:6" s="124" customFormat="1" ht="15.75" hidden="1" customHeight="1">
      <c r="A151" s="131">
        <f>'THONG KE'!B156</f>
        <v>0</v>
      </c>
      <c r="B151" s="131">
        <f>'THONG KE'!C156</f>
        <v>0</v>
      </c>
      <c r="C151" s="153">
        <f>VLOOKUP(A151,'THONG KE'!$B$7:$AC$200,28,0)</f>
        <v>0</v>
      </c>
      <c r="D151" s="102"/>
      <c r="E151" s="102"/>
      <c r="F151" s="102"/>
    </row>
    <row r="152" spans="1:6" s="124" customFormat="1" ht="15.75" hidden="1" customHeight="1">
      <c r="A152" s="131">
        <f>'THONG KE'!B157</f>
        <v>0</v>
      </c>
      <c r="B152" s="131">
        <f>'THONG KE'!C157</f>
        <v>0</v>
      </c>
      <c r="C152" s="153">
        <f>VLOOKUP(A152,'THONG KE'!$B$7:$AC$200,28,0)</f>
        <v>0</v>
      </c>
      <c r="D152" s="102"/>
      <c r="E152" s="102"/>
      <c r="F152" s="102"/>
    </row>
    <row r="153" spans="1:6" s="124" customFormat="1" ht="15.75" hidden="1" customHeight="1">
      <c r="A153" s="131">
        <f>'THONG KE'!B158</f>
        <v>0</v>
      </c>
      <c r="B153" s="131">
        <f>'THONG KE'!C158</f>
        <v>0</v>
      </c>
      <c r="C153" s="153">
        <f>VLOOKUP(A153,'THONG KE'!$B$7:$AC$200,28,0)</f>
        <v>0</v>
      </c>
      <c r="D153" s="102"/>
      <c r="E153" s="102"/>
      <c r="F153" s="102"/>
    </row>
    <row r="154" spans="1:6" s="124" customFormat="1" ht="15.75" hidden="1" customHeight="1">
      <c r="A154" s="131">
        <f>'THONG KE'!B159</f>
        <v>0</v>
      </c>
      <c r="B154" s="131">
        <f>'THONG KE'!C159</f>
        <v>0</v>
      </c>
      <c r="C154" s="153">
        <f>VLOOKUP(A154,'THONG KE'!$B$7:$AC$200,28,0)</f>
        <v>0</v>
      </c>
      <c r="D154" s="102"/>
      <c r="E154" s="102"/>
      <c r="F154" s="102"/>
    </row>
    <row r="155" spans="1:6" s="124" customFormat="1" ht="15.75" hidden="1" customHeight="1">
      <c r="A155" s="131">
        <f>'THONG KE'!B160</f>
        <v>0</v>
      </c>
      <c r="B155" s="131">
        <f>'THONG KE'!C160</f>
        <v>0</v>
      </c>
      <c r="C155" s="153">
        <f>VLOOKUP(A155,'THONG KE'!$B$7:$AC$200,28,0)</f>
        <v>0</v>
      </c>
      <c r="D155" s="102"/>
      <c r="E155" s="102"/>
      <c r="F155" s="102"/>
    </row>
    <row r="156" spans="1:6" s="124" customFormat="1" ht="15.75" hidden="1" customHeight="1">
      <c r="A156" s="131">
        <f>'THONG KE'!B161</f>
        <v>0</v>
      </c>
      <c r="B156" s="131">
        <f>'THONG KE'!C161</f>
        <v>0</v>
      </c>
      <c r="C156" s="153">
        <f>VLOOKUP(A156,'THONG KE'!$B$7:$AC$200,28,0)</f>
        <v>0</v>
      </c>
      <c r="D156" s="102"/>
      <c r="E156" s="102"/>
      <c r="F156" s="102"/>
    </row>
    <row r="157" spans="1:6" s="124" customFormat="1" ht="15.75" hidden="1" customHeight="1">
      <c r="A157" s="131">
        <f>'THONG KE'!B162</f>
        <v>0</v>
      </c>
      <c r="B157" s="131">
        <f>'THONG KE'!C162</f>
        <v>0</v>
      </c>
      <c r="C157" s="153">
        <f>VLOOKUP(A157,'THONG KE'!$B$7:$AC$200,28,0)</f>
        <v>0</v>
      </c>
      <c r="D157" s="102"/>
      <c r="E157" s="102"/>
      <c r="F157" s="102"/>
    </row>
    <row r="158" spans="1:6" s="124" customFormat="1" ht="15.75" hidden="1" customHeight="1">
      <c r="A158" s="131">
        <f>'THONG KE'!B163</f>
        <v>0</v>
      </c>
      <c r="B158" s="131">
        <f>'THONG KE'!C163</f>
        <v>0</v>
      </c>
      <c r="C158" s="153">
        <f>VLOOKUP(A158,'THONG KE'!$B$7:$AC$200,28,0)</f>
        <v>0</v>
      </c>
      <c r="D158" s="102"/>
      <c r="E158" s="102"/>
      <c r="F158" s="102"/>
    </row>
    <row r="159" spans="1:6" s="124" customFormat="1" ht="15.75" hidden="1" customHeight="1">
      <c r="A159" s="131">
        <f>'THONG KE'!B164</f>
        <v>0</v>
      </c>
      <c r="B159" s="131">
        <f>'THONG KE'!C164</f>
        <v>0</v>
      </c>
      <c r="C159" s="153">
        <f>VLOOKUP(A159,'THONG KE'!$B$7:$AC$200,28,0)</f>
        <v>0</v>
      </c>
      <c r="D159" s="102"/>
      <c r="E159" s="102"/>
      <c r="F159" s="102"/>
    </row>
    <row r="160" spans="1:6" s="124" customFormat="1" ht="15.75" hidden="1" customHeight="1">
      <c r="A160" s="131">
        <f>'THONG KE'!B165</f>
        <v>0</v>
      </c>
      <c r="B160" s="131">
        <f>'THONG KE'!C165</f>
        <v>0</v>
      </c>
      <c r="C160" s="153">
        <f>VLOOKUP(A160,'THONG KE'!$B$7:$AC$200,28,0)</f>
        <v>0</v>
      </c>
      <c r="D160" s="102"/>
      <c r="E160" s="102"/>
      <c r="F160" s="102"/>
    </row>
    <row r="161" spans="1:6" s="124" customFormat="1" ht="15.75" hidden="1" customHeight="1">
      <c r="A161" s="131">
        <f>'THONG KE'!B166</f>
        <v>0</v>
      </c>
      <c r="B161" s="131">
        <f>'THONG KE'!C166</f>
        <v>0</v>
      </c>
      <c r="C161" s="153">
        <f>VLOOKUP(A161,'THONG KE'!$B$7:$AC$200,28,0)</f>
        <v>0</v>
      </c>
      <c r="D161" s="102"/>
      <c r="E161" s="102"/>
      <c r="F161" s="102"/>
    </row>
    <row r="162" spans="1:6" s="124" customFormat="1" ht="15.75" hidden="1" customHeight="1">
      <c r="A162" s="131">
        <f>'THONG KE'!B167</f>
        <v>0</v>
      </c>
      <c r="B162" s="131">
        <f>'THONG KE'!C167</f>
        <v>0</v>
      </c>
      <c r="C162" s="153">
        <f>VLOOKUP(A162,'THONG KE'!$B$7:$AC$200,28,0)</f>
        <v>0</v>
      </c>
      <c r="D162" s="102"/>
      <c r="E162" s="102"/>
      <c r="F162" s="102"/>
    </row>
    <row r="163" spans="1:6" s="124" customFormat="1" ht="15.75" hidden="1" customHeight="1">
      <c r="A163" s="131">
        <f>'THONG KE'!B168</f>
        <v>0</v>
      </c>
      <c r="B163" s="131">
        <f>'THONG KE'!C168</f>
        <v>0</v>
      </c>
      <c r="C163" s="153">
        <f>VLOOKUP(A163,'THONG KE'!$B$7:$AC$200,28,0)</f>
        <v>0</v>
      </c>
      <c r="D163" s="102"/>
      <c r="E163" s="102"/>
      <c r="F163" s="102"/>
    </row>
    <row r="164" spans="1:6" s="124" customFormat="1" ht="15.75" hidden="1" customHeight="1">
      <c r="A164" s="131">
        <f>'THONG KE'!B169</f>
        <v>0</v>
      </c>
      <c r="B164" s="131">
        <f>'THONG KE'!C169</f>
        <v>0</v>
      </c>
      <c r="C164" s="153">
        <f>VLOOKUP(A164,'THONG KE'!$B$7:$AC$200,28,0)</f>
        <v>0</v>
      </c>
      <c r="D164" s="102"/>
      <c r="E164" s="102"/>
      <c r="F164" s="102"/>
    </row>
    <row r="165" spans="1:6" s="124" customFormat="1" ht="15.75" hidden="1" customHeight="1">
      <c r="A165" s="131">
        <f>'THONG KE'!B170</f>
        <v>0</v>
      </c>
      <c r="B165" s="131">
        <f>'THONG KE'!C170</f>
        <v>0</v>
      </c>
      <c r="C165" s="153">
        <f>VLOOKUP(A165,'THONG KE'!$B$7:$AC$200,28,0)</f>
        <v>0</v>
      </c>
      <c r="D165" s="102"/>
      <c r="E165" s="102"/>
      <c r="F165" s="102"/>
    </row>
    <row r="166" spans="1:6" s="124" customFormat="1" ht="15.75" hidden="1" customHeight="1">
      <c r="A166" s="131">
        <f>'THONG KE'!B171</f>
        <v>0</v>
      </c>
      <c r="B166" s="131">
        <f>'THONG KE'!C171</f>
        <v>0</v>
      </c>
      <c r="C166" s="153">
        <f>VLOOKUP(A166,'THONG KE'!$B$7:$AC$200,28,0)</f>
        <v>0</v>
      </c>
      <c r="D166" s="102"/>
      <c r="E166" s="102"/>
      <c r="F166" s="102"/>
    </row>
    <row r="167" spans="1:6" s="124" customFormat="1" ht="15.75" hidden="1" customHeight="1">
      <c r="A167" s="131">
        <f>'THONG KE'!B172</f>
        <v>0</v>
      </c>
      <c r="B167" s="131">
        <f>'THONG KE'!C172</f>
        <v>0</v>
      </c>
      <c r="C167" s="153">
        <f>VLOOKUP(A167,'THONG KE'!$B$7:$AC$200,28,0)</f>
        <v>0</v>
      </c>
      <c r="D167" s="102"/>
      <c r="E167" s="102"/>
      <c r="F167" s="102"/>
    </row>
    <row r="168" spans="1:6" s="124" customFormat="1" ht="15.75" hidden="1" customHeight="1">
      <c r="A168" s="131">
        <f>'THONG KE'!B173</f>
        <v>0</v>
      </c>
      <c r="B168" s="131">
        <f>'THONG KE'!C173</f>
        <v>0</v>
      </c>
      <c r="C168" s="153">
        <f>VLOOKUP(A168,'THONG KE'!$B$7:$AC$200,28,0)</f>
        <v>0</v>
      </c>
      <c r="D168" s="102"/>
      <c r="E168" s="102"/>
      <c r="F168" s="102"/>
    </row>
    <row r="169" spans="1:6" s="124" customFormat="1" ht="15.75" hidden="1" customHeight="1">
      <c r="A169" s="131">
        <f>'THONG KE'!B174</f>
        <v>0</v>
      </c>
      <c r="B169" s="131">
        <f>'THONG KE'!C174</f>
        <v>0</v>
      </c>
      <c r="C169" s="153">
        <f>VLOOKUP(A169,'THONG KE'!$B$7:$AC$200,28,0)</f>
        <v>0</v>
      </c>
      <c r="D169" s="102"/>
      <c r="E169" s="102"/>
      <c r="F169" s="102"/>
    </row>
    <row r="170" spans="1:6" s="124" customFormat="1" ht="15.75" hidden="1" customHeight="1">
      <c r="A170" s="131">
        <f>'THONG KE'!B175</f>
        <v>0</v>
      </c>
      <c r="B170" s="131">
        <f>'THONG KE'!C175</f>
        <v>0</v>
      </c>
      <c r="C170" s="153">
        <f>VLOOKUP(A170,'THONG KE'!$B$7:$AC$200,28,0)</f>
        <v>0</v>
      </c>
      <c r="D170" s="102"/>
      <c r="E170" s="102"/>
      <c r="F170" s="102"/>
    </row>
    <row r="171" spans="1:6" s="124" customFormat="1" ht="15.75" hidden="1" customHeight="1">
      <c r="A171" s="131">
        <f>'THONG KE'!B176</f>
        <v>0</v>
      </c>
      <c r="B171" s="131">
        <f>'THONG KE'!C176</f>
        <v>0</v>
      </c>
      <c r="C171" s="153">
        <f>VLOOKUP(A171,'THONG KE'!$B$7:$AC$200,28,0)</f>
        <v>0</v>
      </c>
      <c r="D171" s="102"/>
      <c r="E171" s="102"/>
      <c r="F171" s="102"/>
    </row>
    <row r="172" spans="1:6" s="124" customFormat="1" ht="15.75" hidden="1" customHeight="1">
      <c r="A172" s="131">
        <f>'THONG KE'!B177</f>
        <v>0</v>
      </c>
      <c r="B172" s="131">
        <f>'THONG KE'!C177</f>
        <v>0</v>
      </c>
      <c r="C172" s="153">
        <f>VLOOKUP(A172,'THONG KE'!$B$7:$AC$200,28,0)</f>
        <v>0</v>
      </c>
      <c r="D172" s="102"/>
      <c r="E172" s="102"/>
      <c r="F172" s="102"/>
    </row>
    <row r="173" spans="1:6" s="124" customFormat="1" ht="15.75" hidden="1" customHeight="1">
      <c r="A173" s="131">
        <f>'THONG KE'!B178</f>
        <v>0</v>
      </c>
      <c r="B173" s="131">
        <f>'THONG KE'!C178</f>
        <v>0</v>
      </c>
      <c r="C173" s="153">
        <f>VLOOKUP(A173,'THONG KE'!$B$7:$AC$200,28,0)</f>
        <v>0</v>
      </c>
      <c r="D173" s="102"/>
      <c r="E173" s="102"/>
      <c r="F173" s="102"/>
    </row>
    <row r="174" spans="1:6" s="124" customFormat="1" ht="15.75" hidden="1" customHeight="1">
      <c r="A174" s="131">
        <f>'THONG KE'!B179</f>
        <v>0</v>
      </c>
      <c r="B174" s="131">
        <f>'THONG KE'!C179</f>
        <v>0</v>
      </c>
      <c r="C174" s="153">
        <f>VLOOKUP(A174,'THONG KE'!$B$7:$AC$200,28,0)</f>
        <v>0</v>
      </c>
      <c r="D174" s="102"/>
      <c r="E174" s="102"/>
      <c r="F174" s="102"/>
    </row>
    <row r="175" spans="1:6" s="124" customFormat="1" ht="15.75" hidden="1" customHeight="1">
      <c r="A175" s="131">
        <f>'THONG KE'!B180</f>
        <v>0</v>
      </c>
      <c r="B175" s="131">
        <f>'THONG KE'!C180</f>
        <v>0</v>
      </c>
      <c r="C175" s="153">
        <f>VLOOKUP(A175,'THONG KE'!$B$7:$AC$200,28,0)</f>
        <v>0</v>
      </c>
      <c r="D175" s="102"/>
      <c r="E175" s="102"/>
      <c r="F175" s="102"/>
    </row>
    <row r="176" spans="1:6" s="124" customFormat="1" ht="15.75" hidden="1" customHeight="1">
      <c r="A176" s="131">
        <f>'THONG KE'!B181</f>
        <v>0</v>
      </c>
      <c r="B176" s="131">
        <f>'THONG KE'!C181</f>
        <v>0</v>
      </c>
      <c r="C176" s="153">
        <f>VLOOKUP(A176,'THONG KE'!$B$7:$AC$200,28,0)</f>
        <v>0</v>
      </c>
      <c r="D176" s="102"/>
      <c r="E176" s="102"/>
      <c r="F176" s="102"/>
    </row>
    <row r="177" spans="1:6" s="124" customFormat="1" ht="15.75" hidden="1" customHeight="1">
      <c r="A177" s="131">
        <f>'THONG KE'!B182</f>
        <v>0</v>
      </c>
      <c r="B177" s="131">
        <f>'THONG KE'!C182</f>
        <v>0</v>
      </c>
      <c r="C177" s="153">
        <f>VLOOKUP(A177,'THONG KE'!$B$7:$AC$200,28,0)</f>
        <v>0</v>
      </c>
      <c r="D177" s="102"/>
      <c r="E177" s="102"/>
      <c r="F177" s="102"/>
    </row>
    <row r="178" spans="1:6" s="124" customFormat="1" ht="15.75" hidden="1" customHeight="1">
      <c r="A178" s="131">
        <f>'THONG KE'!B183</f>
        <v>0</v>
      </c>
      <c r="B178" s="131">
        <f>'THONG KE'!C183</f>
        <v>0</v>
      </c>
      <c r="C178" s="153">
        <f>VLOOKUP(A178,'THONG KE'!$B$7:$AC$200,28,0)</f>
        <v>0</v>
      </c>
      <c r="D178" s="102"/>
      <c r="E178" s="102"/>
      <c r="F178" s="102"/>
    </row>
    <row r="179" spans="1:6" s="124" customFormat="1" ht="15.75" hidden="1" customHeight="1">
      <c r="A179" s="131">
        <f>'THONG KE'!B184</f>
        <v>0</v>
      </c>
      <c r="B179" s="131">
        <f>'THONG KE'!C184</f>
        <v>0</v>
      </c>
      <c r="C179" s="153">
        <f>VLOOKUP(A179,'THONG KE'!$B$7:$AC$200,28,0)</f>
        <v>0</v>
      </c>
      <c r="D179" s="102"/>
      <c r="E179" s="102"/>
      <c r="F179" s="102"/>
    </row>
    <row r="180" spans="1:6" s="124" customFormat="1" ht="15.75" hidden="1" customHeight="1">
      <c r="A180" s="131">
        <f>'THONG KE'!B185</f>
        <v>0</v>
      </c>
      <c r="B180" s="131">
        <f>'THONG KE'!C185</f>
        <v>0</v>
      </c>
      <c r="C180" s="153">
        <f>VLOOKUP(A180,'THONG KE'!$B$7:$AC$200,28,0)</f>
        <v>0</v>
      </c>
      <c r="D180" s="102"/>
      <c r="E180" s="102"/>
      <c r="F180" s="102"/>
    </row>
    <row r="181" spans="1:6" s="124" customFormat="1" ht="15.75" hidden="1" customHeight="1">
      <c r="A181" s="131">
        <f>'THONG KE'!B186</f>
        <v>0</v>
      </c>
      <c r="B181" s="131">
        <f>'THONG KE'!C186</f>
        <v>0</v>
      </c>
      <c r="C181" s="153">
        <f>VLOOKUP(A181,'THONG KE'!$B$7:$AC$200,28,0)</f>
        <v>0</v>
      </c>
      <c r="D181" s="102"/>
      <c r="E181" s="102"/>
      <c r="F181" s="102"/>
    </row>
    <row r="182" spans="1:6" s="124" customFormat="1" ht="15.75" hidden="1" customHeight="1">
      <c r="A182" s="131">
        <f>'THONG KE'!B187</f>
        <v>0</v>
      </c>
      <c r="B182" s="131">
        <f>'THONG KE'!C187</f>
        <v>0</v>
      </c>
      <c r="C182" s="153">
        <f>VLOOKUP(A182,'THONG KE'!$B$7:$AC$200,28,0)</f>
        <v>0</v>
      </c>
      <c r="D182" s="102"/>
      <c r="E182" s="102"/>
      <c r="F182" s="102"/>
    </row>
    <row r="183" spans="1:6" s="124" customFormat="1" ht="15.75" hidden="1" customHeight="1">
      <c r="A183" s="131">
        <f>'THONG KE'!B188</f>
        <v>0</v>
      </c>
      <c r="B183" s="131">
        <f>'THONG KE'!C188</f>
        <v>0</v>
      </c>
      <c r="C183" s="153">
        <f>VLOOKUP(A183,'THONG KE'!$B$7:$AC$200,28,0)</f>
        <v>0</v>
      </c>
      <c r="D183" s="102"/>
      <c r="E183" s="102"/>
      <c r="F183" s="102"/>
    </row>
    <row r="184" spans="1:6" s="124" customFormat="1" ht="15.75" hidden="1" customHeight="1">
      <c r="A184" s="131">
        <f>'THONG KE'!B189</f>
        <v>0</v>
      </c>
      <c r="B184" s="131">
        <f>'THONG KE'!C189</f>
        <v>0</v>
      </c>
      <c r="C184" s="153">
        <f>VLOOKUP(A184,'THONG KE'!$B$7:$AC$200,28,0)</f>
        <v>0</v>
      </c>
      <c r="D184" s="102"/>
      <c r="E184" s="102"/>
      <c r="F184" s="102"/>
    </row>
    <row r="185" spans="1:6" s="124" customFormat="1" ht="15.75" hidden="1" customHeight="1">
      <c r="A185" s="131">
        <f>'THONG KE'!B190</f>
        <v>0</v>
      </c>
      <c r="B185" s="131">
        <f>'THONG KE'!C190</f>
        <v>0</v>
      </c>
      <c r="C185" s="153">
        <f>VLOOKUP(A185,'THONG KE'!$B$7:$AC$200,28,0)</f>
        <v>0</v>
      </c>
      <c r="D185" s="102"/>
      <c r="E185" s="102"/>
      <c r="F185" s="102"/>
    </row>
    <row r="186" spans="1:6" s="124" customFormat="1" ht="15.75" hidden="1" customHeight="1">
      <c r="A186" s="131">
        <f>'THONG KE'!B191</f>
        <v>0</v>
      </c>
      <c r="B186" s="131">
        <f>'THONG KE'!C191</f>
        <v>0</v>
      </c>
      <c r="C186" s="153">
        <f>VLOOKUP(A186,'THONG KE'!$B$7:$AC$200,28,0)</f>
        <v>0</v>
      </c>
      <c r="D186" s="102"/>
      <c r="E186" s="102"/>
      <c r="F186" s="102"/>
    </row>
    <row r="187" spans="1:6" s="124" customFormat="1" ht="15.75" hidden="1" customHeight="1">
      <c r="A187" s="131">
        <f>'THONG KE'!B192</f>
        <v>0</v>
      </c>
      <c r="B187" s="131">
        <f>'THONG KE'!C192</f>
        <v>0</v>
      </c>
      <c r="C187" s="153">
        <f>VLOOKUP(A187,'THONG KE'!$B$7:$AC$200,28,0)</f>
        <v>0</v>
      </c>
      <c r="D187" s="102"/>
      <c r="E187" s="102"/>
      <c r="F187" s="102"/>
    </row>
    <row r="188" spans="1:6" s="124" customFormat="1" ht="15.75" hidden="1" customHeight="1">
      <c r="A188" s="131">
        <f>'THONG KE'!B193</f>
        <v>0</v>
      </c>
      <c r="B188" s="131">
        <f>'THONG KE'!C193</f>
        <v>0</v>
      </c>
      <c r="C188" s="153">
        <f>VLOOKUP(A188,'THONG KE'!$B$7:$AC$200,28,0)</f>
        <v>0</v>
      </c>
      <c r="D188" s="102"/>
      <c r="E188" s="102"/>
      <c r="F188" s="102"/>
    </row>
    <row r="189" spans="1:6" s="124" customFormat="1" ht="15.75" hidden="1" customHeight="1">
      <c r="A189" s="131">
        <f>'THONG KE'!B194</f>
        <v>0</v>
      </c>
      <c r="B189" s="131">
        <f>'THONG KE'!C194</f>
        <v>0</v>
      </c>
      <c r="C189" s="153">
        <f>VLOOKUP(A189,'THONG KE'!$B$7:$AC$200,28,0)</f>
        <v>0</v>
      </c>
      <c r="D189" s="102"/>
      <c r="E189" s="102"/>
      <c r="F189" s="102"/>
    </row>
    <row r="190" spans="1:6" s="124" customFormat="1" ht="15.75" hidden="1" customHeight="1">
      <c r="A190" s="131">
        <f>'THONG KE'!B195</f>
        <v>0</v>
      </c>
      <c r="B190" s="131">
        <f>'THONG KE'!C195</f>
        <v>0</v>
      </c>
      <c r="C190" s="153">
        <f>VLOOKUP(A190,'THONG KE'!$B$7:$AC$200,28,0)</f>
        <v>0</v>
      </c>
      <c r="D190" s="102"/>
      <c r="E190" s="102"/>
      <c r="F190" s="102"/>
    </row>
    <row r="191" spans="1:6" s="124" customFormat="1" ht="15.75" hidden="1" customHeight="1">
      <c r="A191" s="131">
        <f>'THONG KE'!B196</f>
        <v>0</v>
      </c>
      <c r="B191" s="131">
        <f>'THONG KE'!C196</f>
        <v>0</v>
      </c>
      <c r="C191" s="153">
        <f>VLOOKUP(A191,'THONG KE'!$B$7:$AC$200,28,0)</f>
        <v>0</v>
      </c>
      <c r="D191" s="102"/>
      <c r="E191" s="102"/>
      <c r="F191" s="102"/>
    </row>
    <row r="192" spans="1:6" s="124" customFormat="1" ht="15.75" hidden="1" customHeight="1">
      <c r="A192" s="131">
        <f>'THONG KE'!B197</f>
        <v>0</v>
      </c>
      <c r="B192" s="131">
        <f>'THONG KE'!C197</f>
        <v>0</v>
      </c>
      <c r="C192" s="153">
        <f>VLOOKUP(A192,'THONG KE'!$B$7:$AC$200,28,0)</f>
        <v>0</v>
      </c>
      <c r="D192" s="102"/>
      <c r="E192" s="102"/>
      <c r="F192" s="102"/>
    </row>
    <row r="193" spans="1:242">
      <c r="A193" s="155"/>
      <c r="B193" s="108"/>
      <c r="C193" s="153"/>
      <c r="D193" s="168"/>
      <c r="E193" s="244"/>
      <c r="F193" s="244"/>
      <c r="G193" s="92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</row>
    <row r="194" spans="1:242">
      <c r="A194" s="155"/>
      <c r="B194" s="108"/>
      <c r="C194" s="153"/>
      <c r="D194" s="173"/>
      <c r="E194" s="173"/>
      <c r="F194" s="173"/>
      <c r="G194" s="92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</row>
    <row r="195" spans="1:242">
      <c r="A195" s="91"/>
      <c r="B195" s="91"/>
      <c r="C195" s="91"/>
      <c r="D195" s="174"/>
      <c r="E195" s="174"/>
      <c r="F195" s="174"/>
      <c r="G195" s="92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</row>
    <row r="196" spans="1:242">
      <c r="A196" s="91"/>
      <c r="B196" s="91"/>
      <c r="C196" s="91"/>
      <c r="D196" s="174"/>
      <c r="E196" s="174"/>
      <c r="F196" s="174"/>
      <c r="G196" s="92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</row>
    <row r="197" spans="1:242">
      <c r="A197" s="91"/>
      <c r="B197" s="91"/>
      <c r="C197" s="91"/>
      <c r="D197" s="174"/>
      <c r="E197" s="174"/>
      <c r="F197" s="94"/>
      <c r="G197" s="94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</row>
    <row r="198" spans="1:242">
      <c r="A198" s="91"/>
      <c r="B198" s="91"/>
      <c r="C198" s="91"/>
      <c r="D198" s="174"/>
      <c r="E198" s="174"/>
      <c r="F198" s="173"/>
      <c r="G198" s="93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</row>
    <row r="199" spans="1:242" ht="29.25" customHeight="1">
      <c r="A199" s="169"/>
      <c r="B199" s="169"/>
      <c r="C199" s="169"/>
      <c r="D199" s="169"/>
      <c r="E199" s="169"/>
      <c r="F199" s="169"/>
      <c r="G199" s="95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</row>
    <row r="200" spans="1:242" ht="33" customHeight="1">
      <c r="A200" s="169"/>
      <c r="B200" s="169"/>
      <c r="C200" s="169"/>
      <c r="D200" s="169"/>
      <c r="E200" s="169"/>
      <c r="F200" s="169"/>
      <c r="G200" s="90"/>
      <c r="H200"/>
      <c r="I200"/>
      <c r="J200" s="90"/>
      <c r="K200" s="9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</row>
    <row r="201" spans="1:242" ht="15" customHeight="1">
      <c r="A201" s="90"/>
      <c r="B201" s="90"/>
      <c r="C201" s="90"/>
      <c r="D201" s="90"/>
      <c r="E201" s="90"/>
      <c r="F201" s="90"/>
      <c r="G201" s="90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</row>
    <row r="202" spans="1:242"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</row>
  </sheetData>
  <autoFilter ref="A1:C192">
    <filterColumn colId="2">
      <customFilters>
        <customFilter operator="greaterThan" val="0"/>
      </customFilters>
    </filterColumn>
  </autoFilter>
  <mergeCells count="1">
    <mergeCell ref="E193:F193"/>
  </mergeCells>
  <pageMargins left="0.7" right="0.7" top="0.5" bottom="0.25" header="0.3" footer="0.3"/>
  <pageSetup scale="98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C205"/>
  <sheetViews>
    <sheetView topLeftCell="A6" zoomScale="55" zoomScaleNormal="55" workbookViewId="0">
      <pane xSplit="4" ySplit="1" topLeftCell="E100" activePane="bottomRight" state="frozen"/>
      <selection activeCell="A6" sqref="A6"/>
      <selection pane="topRight" activeCell="E6" sqref="E6"/>
      <selection pane="bottomLeft" activeCell="A7" sqref="A7"/>
      <selection pane="bottomRight" activeCell="AC129" sqref="AC129"/>
    </sheetView>
  </sheetViews>
  <sheetFormatPr defaultRowHeight="15"/>
  <cols>
    <col min="2" max="2" width="34" style="163" customWidth="1"/>
    <col min="4" max="4" width="12.7109375" style="161" bestFit="1" customWidth="1"/>
    <col min="5" max="5" width="12.85546875" bestFit="1" customWidth="1"/>
    <col min="6" max="6" width="12" bestFit="1" customWidth="1"/>
    <col min="7" max="7" width="12.28515625" bestFit="1" customWidth="1"/>
    <col min="8" max="8" width="10.140625" bestFit="1" customWidth="1"/>
    <col min="12" max="12" width="10.7109375" bestFit="1" customWidth="1"/>
    <col min="24" max="24" width="10.140625" bestFit="1" customWidth="1"/>
    <col min="29" max="29" width="10.7109375" bestFit="1" customWidth="1"/>
    <col min="30" max="30" width="9.140625" customWidth="1"/>
  </cols>
  <sheetData>
    <row r="1" spans="1:29" ht="15.75">
      <c r="A1" s="247" t="s">
        <v>97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</row>
    <row r="2" spans="1:29" ht="15.75">
      <c r="A2" s="53"/>
      <c r="B2" s="55"/>
      <c r="C2" s="55"/>
      <c r="D2" s="158"/>
      <c r="E2" s="54"/>
      <c r="F2" s="54"/>
      <c r="G2" s="54"/>
      <c r="H2" s="54"/>
      <c r="I2" s="54"/>
      <c r="J2" s="54"/>
      <c r="K2" s="54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</row>
    <row r="3" spans="1:29" ht="15.75">
      <c r="A3" s="56" t="s">
        <v>98</v>
      </c>
      <c r="B3" s="55"/>
      <c r="C3" s="55"/>
      <c r="D3" s="158"/>
      <c r="E3" s="54"/>
      <c r="F3" s="54"/>
      <c r="G3" s="54"/>
      <c r="H3" s="54"/>
      <c r="I3" s="54"/>
      <c r="J3" s="54"/>
      <c r="K3" s="54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</row>
    <row r="4" spans="1:29" ht="15.75">
      <c r="A4" s="56" t="s">
        <v>99</v>
      </c>
      <c r="B4" s="55"/>
      <c r="C4" s="55"/>
      <c r="D4" s="158"/>
      <c r="E4" s="54"/>
      <c r="F4" s="54"/>
      <c r="G4" s="54"/>
      <c r="H4" s="54"/>
      <c r="I4" s="54"/>
      <c r="J4" s="54"/>
      <c r="K4" s="54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</row>
    <row r="5" spans="1:29" ht="20.25">
      <c r="A5" s="52"/>
      <c r="B5" s="55"/>
      <c r="C5" s="52"/>
      <c r="D5" s="159"/>
      <c r="E5" s="248" t="s">
        <v>100</v>
      </c>
      <c r="F5" s="248"/>
      <c r="G5" s="248"/>
      <c r="H5" s="248"/>
      <c r="I5" s="248"/>
      <c r="J5" s="248"/>
      <c r="K5" s="248"/>
      <c r="L5" s="248"/>
      <c r="M5" s="249" t="s">
        <v>101</v>
      </c>
      <c r="N5" s="249"/>
      <c r="O5" s="249"/>
      <c r="P5" s="249"/>
      <c r="Q5" s="250" t="s">
        <v>102</v>
      </c>
      <c r="R5" s="250"/>
      <c r="S5" s="250"/>
      <c r="T5" s="250"/>
      <c r="U5" s="250"/>
      <c r="V5" s="245" t="s">
        <v>103</v>
      </c>
      <c r="W5" s="245"/>
      <c r="X5" s="245"/>
      <c r="Y5" s="245"/>
      <c r="Z5" s="245"/>
      <c r="AA5" s="245"/>
      <c r="AB5" s="245"/>
      <c r="AC5" s="246" t="s">
        <v>104</v>
      </c>
    </row>
    <row r="6" spans="1:29" ht="38.25">
      <c r="A6" s="80" t="s">
        <v>105</v>
      </c>
      <c r="B6" s="80" t="s">
        <v>106</v>
      </c>
      <c r="C6" s="80" t="s">
        <v>107</v>
      </c>
      <c r="D6" s="160" t="s">
        <v>129</v>
      </c>
      <c r="E6" s="72" t="s">
        <v>108</v>
      </c>
      <c r="F6" s="73" t="s">
        <v>109</v>
      </c>
      <c r="G6" s="73" t="s">
        <v>110</v>
      </c>
      <c r="H6" s="72" t="s">
        <v>111</v>
      </c>
      <c r="I6" s="72" t="s">
        <v>112</v>
      </c>
      <c r="J6" s="72" t="s">
        <v>113</v>
      </c>
      <c r="K6" s="157" t="s">
        <v>212</v>
      </c>
      <c r="L6" s="72" t="s">
        <v>114</v>
      </c>
      <c r="M6" s="74" t="s">
        <v>115</v>
      </c>
      <c r="N6" s="74" t="s">
        <v>116</v>
      </c>
      <c r="O6" s="75" t="s">
        <v>117</v>
      </c>
      <c r="P6" s="74" t="s">
        <v>114</v>
      </c>
      <c r="Q6" s="76" t="s">
        <v>118</v>
      </c>
      <c r="R6" s="76" t="s">
        <v>119</v>
      </c>
      <c r="S6" s="76" t="s">
        <v>120</v>
      </c>
      <c r="T6" s="76" t="s">
        <v>121</v>
      </c>
      <c r="U6" s="76" t="s">
        <v>114</v>
      </c>
      <c r="V6" s="77" t="s">
        <v>122</v>
      </c>
      <c r="W6" s="77" t="s">
        <v>123</v>
      </c>
      <c r="X6" s="78" t="s">
        <v>124</v>
      </c>
      <c r="Y6" s="77" t="s">
        <v>125</v>
      </c>
      <c r="Z6" s="77" t="s">
        <v>126</v>
      </c>
      <c r="AA6" s="77" t="s">
        <v>127</v>
      </c>
      <c r="AB6" s="78" t="s">
        <v>114</v>
      </c>
      <c r="AC6" s="246"/>
    </row>
    <row r="7" spans="1:29" ht="26.25">
      <c r="A7" s="79">
        <v>1</v>
      </c>
      <c r="B7" s="162" t="str">
        <f>DATA!A2</f>
        <v>Acco Nhựa</v>
      </c>
      <c r="C7" s="84" t="str">
        <f>DATA!B2</f>
        <v>hộp</v>
      </c>
      <c r="D7" s="85">
        <f>DATA!C2</f>
        <v>12500</v>
      </c>
      <c r="E7" s="66"/>
      <c r="F7" s="66"/>
      <c r="G7" s="66"/>
      <c r="H7" s="66"/>
      <c r="I7" s="66"/>
      <c r="J7" s="66"/>
      <c r="K7" s="66"/>
      <c r="L7" s="67">
        <f>SUM(E7:K7)</f>
        <v>0</v>
      </c>
      <c r="M7" s="66"/>
      <c r="N7" s="66"/>
      <c r="O7" s="66"/>
      <c r="P7" s="68">
        <f>SUM(M7:O7)</f>
        <v>0</v>
      </c>
      <c r="Q7" s="66"/>
      <c r="R7" s="66"/>
      <c r="S7" s="66"/>
      <c r="T7" s="66"/>
      <c r="U7" s="69">
        <f>SUM(Q7:T7)</f>
        <v>0</v>
      </c>
      <c r="V7" s="66"/>
      <c r="W7" s="66"/>
      <c r="X7" s="66"/>
      <c r="Y7" s="66"/>
      <c r="Z7" s="66"/>
      <c r="AA7" s="66"/>
      <c r="AB7" s="70">
        <f>SUM(V7:AA7)</f>
        <v>0</v>
      </c>
      <c r="AC7" s="71">
        <f>L7+P7+U7+AB7</f>
        <v>0</v>
      </c>
    </row>
    <row r="8" spans="1:29" ht="26.25">
      <c r="A8" s="57">
        <v>2</v>
      </c>
      <c r="B8" s="162" t="str">
        <f>DATA!A3</f>
        <v>Bấm Kim 10E Tr - Plus</v>
      </c>
      <c r="C8" s="84" t="str">
        <f>DATA!B3</f>
        <v>cái</v>
      </c>
      <c r="D8" s="85">
        <f>DATA!C3</f>
        <v>23000</v>
      </c>
      <c r="E8" s="66"/>
      <c r="F8" s="66"/>
      <c r="G8" s="66"/>
      <c r="H8" s="66"/>
      <c r="I8" s="66"/>
      <c r="J8" s="66"/>
      <c r="K8" s="66"/>
      <c r="L8" s="67">
        <f t="shared" ref="L8:L71" si="0">SUM(E8:K8)</f>
        <v>0</v>
      </c>
      <c r="M8" s="66"/>
      <c r="N8" s="66"/>
      <c r="O8" s="66"/>
      <c r="P8" s="68">
        <f t="shared" ref="P8:P71" si="1">SUM(M8:O8)</f>
        <v>0</v>
      </c>
      <c r="Q8" s="66"/>
      <c r="R8" s="66"/>
      <c r="S8" s="66"/>
      <c r="T8" s="66"/>
      <c r="U8" s="69">
        <f t="shared" ref="U8:U71" si="2">SUM(Q8:T8)</f>
        <v>0</v>
      </c>
      <c r="V8" s="66"/>
      <c r="W8" s="66"/>
      <c r="X8" s="66"/>
      <c r="Y8" s="66"/>
      <c r="Z8" s="66"/>
      <c r="AA8" s="66"/>
      <c r="AB8" s="70">
        <f t="shared" ref="AB8:AB71" si="3">SUM(V8:AA8)</f>
        <v>0</v>
      </c>
      <c r="AC8" s="71">
        <f t="shared" ref="AC8:AC71" si="4">L8+P8+U8+AB8</f>
        <v>0</v>
      </c>
    </row>
    <row r="9" spans="1:29" ht="26.25">
      <c r="A9" s="79">
        <v>3</v>
      </c>
      <c r="B9" s="162" t="str">
        <f>DATA!A4</f>
        <v>Bấm kim số 03</v>
      </c>
      <c r="C9" s="84" t="str">
        <f>DATA!B4</f>
        <v>cái</v>
      </c>
      <c r="D9" s="85">
        <f>DATA!C4</f>
        <v>28000</v>
      </c>
      <c r="E9" s="66"/>
      <c r="F9" s="66"/>
      <c r="G9" s="66"/>
      <c r="H9" s="66"/>
      <c r="I9" s="66"/>
      <c r="J9" s="66"/>
      <c r="K9" s="66"/>
      <c r="L9" s="67">
        <f t="shared" si="0"/>
        <v>0</v>
      </c>
      <c r="M9" s="66"/>
      <c r="N9" s="66"/>
      <c r="O9" s="66"/>
      <c r="P9" s="68">
        <f t="shared" si="1"/>
        <v>0</v>
      </c>
      <c r="Q9" s="66"/>
      <c r="R9" s="66"/>
      <c r="S9" s="66"/>
      <c r="T9" s="66"/>
      <c r="U9" s="69">
        <f t="shared" si="2"/>
        <v>0</v>
      </c>
      <c r="V9" s="66"/>
      <c r="W9" s="66"/>
      <c r="X9" s="66"/>
      <c r="Y9" s="66"/>
      <c r="Z9" s="66"/>
      <c r="AA9" s="66"/>
      <c r="AB9" s="70">
        <f t="shared" si="3"/>
        <v>0</v>
      </c>
      <c r="AC9" s="71">
        <f t="shared" si="4"/>
        <v>0</v>
      </c>
    </row>
    <row r="10" spans="1:29" ht="26.25">
      <c r="A10" s="81">
        <v>4</v>
      </c>
      <c r="B10" s="162" t="str">
        <f>DATA!A5</f>
        <v>Bấm Lổ Eagle 837</v>
      </c>
      <c r="C10" s="84" t="str">
        <f>DATA!B5</f>
        <v>cái</v>
      </c>
      <c r="D10" s="85">
        <f>DATA!C5</f>
        <v>30500</v>
      </c>
      <c r="E10" s="66"/>
      <c r="F10" s="66"/>
      <c r="G10" s="66"/>
      <c r="H10" s="66"/>
      <c r="I10" s="66"/>
      <c r="J10" s="66"/>
      <c r="K10" s="66"/>
      <c r="L10" s="67">
        <f t="shared" si="0"/>
        <v>0</v>
      </c>
      <c r="M10" s="66"/>
      <c r="N10" s="66"/>
      <c r="O10" s="66"/>
      <c r="P10" s="68">
        <f t="shared" si="1"/>
        <v>0</v>
      </c>
      <c r="Q10" s="66"/>
      <c r="R10" s="66"/>
      <c r="S10" s="66"/>
      <c r="T10" s="66"/>
      <c r="U10" s="69">
        <f t="shared" si="2"/>
        <v>0</v>
      </c>
      <c r="V10" s="66"/>
      <c r="W10" s="66"/>
      <c r="X10" s="66"/>
      <c r="Y10" s="66"/>
      <c r="Z10" s="66"/>
      <c r="AA10" s="66"/>
      <c r="AB10" s="70">
        <f t="shared" si="3"/>
        <v>0</v>
      </c>
      <c r="AC10" s="71">
        <f t="shared" si="4"/>
        <v>0</v>
      </c>
    </row>
    <row r="11" spans="1:29" ht="26.25">
      <c r="A11" s="79">
        <v>5</v>
      </c>
      <c r="B11" s="162" t="str">
        <f>DATA!A6</f>
        <v>Băng Keo 2 Mặt 1,6Cm</v>
      </c>
      <c r="C11" s="84" t="str">
        <f>DATA!B6</f>
        <v>cuộn</v>
      </c>
      <c r="D11" s="85">
        <f>DATA!C6</f>
        <v>2000</v>
      </c>
      <c r="E11" s="66">
        <v>2</v>
      </c>
      <c r="F11" s="66"/>
      <c r="G11" s="66">
        <v>5</v>
      </c>
      <c r="H11" s="66"/>
      <c r="I11" s="66">
        <v>2</v>
      </c>
      <c r="J11" s="66"/>
      <c r="K11" s="66"/>
      <c r="L11" s="67">
        <f t="shared" si="0"/>
        <v>9</v>
      </c>
      <c r="M11" s="66"/>
      <c r="N11" s="66"/>
      <c r="O11" s="66"/>
      <c r="P11" s="68">
        <f t="shared" si="1"/>
        <v>0</v>
      </c>
      <c r="Q11" s="66"/>
      <c r="R11" s="66"/>
      <c r="S11" s="66"/>
      <c r="T11" s="66"/>
      <c r="U11" s="69">
        <f t="shared" si="2"/>
        <v>0</v>
      </c>
      <c r="V11" s="66"/>
      <c r="W11" s="66"/>
      <c r="X11" s="66"/>
      <c r="Y11" s="66"/>
      <c r="Z11" s="66"/>
      <c r="AA11" s="66"/>
      <c r="AB11" s="70">
        <f t="shared" si="3"/>
        <v>0</v>
      </c>
      <c r="AC11" s="71">
        <f t="shared" si="4"/>
        <v>9</v>
      </c>
    </row>
    <row r="12" spans="1:29" ht="26.25">
      <c r="A12" s="81">
        <v>6</v>
      </c>
      <c r="B12" s="162" t="str">
        <f>DATA!A7</f>
        <v>Băng Keo 2 Mặt Xốp 2,4Cm</v>
      </c>
      <c r="C12" s="84" t="str">
        <f>DATA!B7</f>
        <v>cuộn</v>
      </c>
      <c r="D12" s="85">
        <f>DATA!C7</f>
        <v>10000</v>
      </c>
      <c r="E12" s="66"/>
      <c r="F12" s="66"/>
      <c r="G12" s="66"/>
      <c r="H12" s="66"/>
      <c r="I12" s="66"/>
      <c r="J12" s="66"/>
      <c r="K12" s="66"/>
      <c r="L12" s="67">
        <f t="shared" si="0"/>
        <v>0</v>
      </c>
      <c r="M12" s="66"/>
      <c r="N12" s="66"/>
      <c r="O12" s="66"/>
      <c r="P12" s="68">
        <f t="shared" si="1"/>
        <v>0</v>
      </c>
      <c r="Q12" s="66"/>
      <c r="R12" s="66"/>
      <c r="S12" s="66"/>
      <c r="T12" s="66"/>
      <c r="U12" s="69">
        <f t="shared" si="2"/>
        <v>0</v>
      </c>
      <c r="V12" s="66"/>
      <c r="W12" s="66"/>
      <c r="X12" s="66"/>
      <c r="Y12" s="66"/>
      <c r="Z12" s="66"/>
      <c r="AA12" s="66"/>
      <c r="AB12" s="70">
        <f t="shared" si="3"/>
        <v>0</v>
      </c>
      <c r="AC12" s="71">
        <f t="shared" si="4"/>
        <v>0</v>
      </c>
    </row>
    <row r="13" spans="1:29" ht="26.25">
      <c r="A13" s="79">
        <v>7</v>
      </c>
      <c r="B13" s="162" t="str">
        <f>DATA!A8</f>
        <v>Băng keo giấy</v>
      </c>
      <c r="C13" s="84" t="str">
        <f>DATA!B8</f>
        <v>cuộn</v>
      </c>
      <c r="D13" s="85">
        <f>DATA!C8</f>
        <v>2900</v>
      </c>
      <c r="E13" s="66"/>
      <c r="F13" s="66"/>
      <c r="G13" s="66"/>
      <c r="H13" s="66"/>
      <c r="I13" s="66"/>
      <c r="J13" s="66"/>
      <c r="K13" s="66"/>
      <c r="L13" s="67">
        <f t="shared" si="0"/>
        <v>0</v>
      </c>
      <c r="M13" s="66"/>
      <c r="N13" s="66"/>
      <c r="O13" s="66"/>
      <c r="P13" s="68">
        <f t="shared" si="1"/>
        <v>0</v>
      </c>
      <c r="Q13" s="66"/>
      <c r="R13" s="66"/>
      <c r="S13" s="66"/>
      <c r="T13" s="66"/>
      <c r="U13" s="69">
        <f t="shared" si="2"/>
        <v>0</v>
      </c>
      <c r="V13" s="66"/>
      <c r="W13" s="66"/>
      <c r="X13" s="66"/>
      <c r="Y13" s="66"/>
      <c r="Z13" s="66"/>
      <c r="AA13" s="66"/>
      <c r="AB13" s="70">
        <f t="shared" si="3"/>
        <v>0</v>
      </c>
      <c r="AC13" s="71">
        <f t="shared" si="4"/>
        <v>0</v>
      </c>
    </row>
    <row r="14" spans="1:29" ht="26.25">
      <c r="A14" s="81">
        <v>8</v>
      </c>
      <c r="B14" s="162" t="str">
        <f>DATA!A9</f>
        <v>Băng keo trong 2cm</v>
      </c>
      <c r="C14" s="84" t="str">
        <f>DATA!B9</f>
        <v>cuộn</v>
      </c>
      <c r="D14" s="85">
        <f>DATA!C9</f>
        <v>1200</v>
      </c>
      <c r="E14" s="66"/>
      <c r="F14" s="66"/>
      <c r="G14" s="66"/>
      <c r="H14" s="66"/>
      <c r="I14" s="66"/>
      <c r="J14" s="66"/>
      <c r="K14" s="66"/>
      <c r="L14" s="67">
        <f t="shared" si="0"/>
        <v>0</v>
      </c>
      <c r="M14" s="66"/>
      <c r="N14" s="66"/>
      <c r="O14" s="66"/>
      <c r="P14" s="68">
        <f t="shared" si="1"/>
        <v>0</v>
      </c>
      <c r="Q14" s="66"/>
      <c r="R14" s="66"/>
      <c r="S14" s="66"/>
      <c r="T14" s="66"/>
      <c r="U14" s="69">
        <f t="shared" si="2"/>
        <v>0</v>
      </c>
      <c r="V14" s="66"/>
      <c r="W14" s="66"/>
      <c r="X14" s="66"/>
      <c r="Y14" s="66"/>
      <c r="Z14" s="66">
        <v>10</v>
      </c>
      <c r="AA14" s="66"/>
      <c r="AB14" s="70">
        <f t="shared" si="3"/>
        <v>10</v>
      </c>
      <c r="AC14" s="71">
        <f t="shared" si="4"/>
        <v>10</v>
      </c>
    </row>
    <row r="15" spans="1:29" ht="26.25">
      <c r="A15" s="79">
        <v>9</v>
      </c>
      <c r="B15" s="162" t="str">
        <f>DATA!A10</f>
        <v>Băng Keo Trong 5Cm 80Yards</v>
      </c>
      <c r="C15" s="84" t="str">
        <f>DATA!B10</f>
        <v>cuộn</v>
      </c>
      <c r="D15" s="85">
        <f>DATA!C10</f>
        <v>7900</v>
      </c>
      <c r="E15" s="66"/>
      <c r="F15" s="66"/>
      <c r="G15" s="66"/>
      <c r="H15" s="66"/>
      <c r="I15" s="66"/>
      <c r="J15" s="66"/>
      <c r="K15" s="66"/>
      <c r="L15" s="67">
        <f t="shared" si="0"/>
        <v>0</v>
      </c>
      <c r="M15" s="66"/>
      <c r="N15" s="66"/>
      <c r="O15" s="66"/>
      <c r="P15" s="68">
        <f t="shared" si="1"/>
        <v>0</v>
      </c>
      <c r="Q15" s="66"/>
      <c r="R15" s="66"/>
      <c r="S15" s="66"/>
      <c r="T15" s="66"/>
      <c r="U15" s="69">
        <f t="shared" si="2"/>
        <v>0</v>
      </c>
      <c r="V15" s="66"/>
      <c r="W15" s="66"/>
      <c r="X15" s="66"/>
      <c r="Y15" s="66"/>
      <c r="Z15" s="66"/>
      <c r="AA15" s="66"/>
      <c r="AB15" s="70">
        <f t="shared" si="3"/>
        <v>0</v>
      </c>
      <c r="AC15" s="71">
        <f t="shared" si="4"/>
        <v>0</v>
      </c>
    </row>
    <row r="16" spans="1:29" ht="26.25">
      <c r="A16" s="81">
        <v>10</v>
      </c>
      <c r="B16" s="162" t="str">
        <f>DATA!A11</f>
        <v>Bảng Tên Nhựa Dẻo (Đứng)</v>
      </c>
      <c r="C16" s="84" t="str">
        <f>DATA!B11</f>
        <v>cái</v>
      </c>
      <c r="D16" s="85">
        <f>DATA!C11</f>
        <v>1170</v>
      </c>
      <c r="E16" s="66"/>
      <c r="F16" s="66"/>
      <c r="G16" s="66"/>
      <c r="H16" s="66"/>
      <c r="I16" s="66"/>
      <c r="J16" s="66">
        <v>100</v>
      </c>
      <c r="K16" s="66"/>
      <c r="L16" s="67">
        <f t="shared" si="0"/>
        <v>100</v>
      </c>
      <c r="M16" s="66"/>
      <c r="N16" s="66"/>
      <c r="O16" s="66"/>
      <c r="P16" s="68">
        <f t="shared" si="1"/>
        <v>0</v>
      </c>
      <c r="Q16" s="66"/>
      <c r="R16" s="66"/>
      <c r="S16" s="66"/>
      <c r="T16" s="66"/>
      <c r="U16" s="69">
        <f t="shared" si="2"/>
        <v>0</v>
      </c>
      <c r="V16" s="66"/>
      <c r="W16" s="66"/>
      <c r="X16" s="66"/>
      <c r="Y16" s="66"/>
      <c r="Z16" s="66"/>
      <c r="AA16" s="66"/>
      <c r="AB16" s="70">
        <f t="shared" si="3"/>
        <v>0</v>
      </c>
      <c r="AC16" s="71">
        <f t="shared" si="4"/>
        <v>100</v>
      </c>
    </row>
    <row r="17" spans="1:29" ht="26.25">
      <c r="A17" s="79">
        <v>11</v>
      </c>
      <c r="B17" s="162" t="str">
        <f>DATA!A12</f>
        <v>Bảng Tên Nhựa Dẻo (Ngang)</v>
      </c>
      <c r="C17" s="84" t="str">
        <f>DATA!B12</f>
        <v>cái</v>
      </c>
      <c r="D17" s="85">
        <f>DATA!C12</f>
        <v>1170</v>
      </c>
      <c r="E17" s="66"/>
      <c r="F17" s="66"/>
      <c r="G17" s="66"/>
      <c r="H17" s="66"/>
      <c r="I17" s="66"/>
      <c r="J17" s="66"/>
      <c r="K17" s="66"/>
      <c r="L17" s="67">
        <f t="shared" si="0"/>
        <v>0</v>
      </c>
      <c r="M17" s="66"/>
      <c r="N17" s="66"/>
      <c r="O17" s="66"/>
      <c r="P17" s="68">
        <f t="shared" si="1"/>
        <v>0</v>
      </c>
      <c r="Q17" s="66"/>
      <c r="R17" s="66"/>
      <c r="S17" s="66"/>
      <c r="T17" s="66"/>
      <c r="U17" s="69">
        <f t="shared" si="2"/>
        <v>0</v>
      </c>
      <c r="V17" s="66"/>
      <c r="W17" s="66"/>
      <c r="X17" s="66"/>
      <c r="Y17" s="66"/>
      <c r="Z17" s="66"/>
      <c r="AA17" s="66"/>
      <c r="AB17" s="70">
        <f t="shared" si="3"/>
        <v>0</v>
      </c>
      <c r="AC17" s="71">
        <f t="shared" si="4"/>
        <v>0</v>
      </c>
    </row>
    <row r="18" spans="1:29" ht="30">
      <c r="A18" s="81">
        <v>12</v>
      </c>
      <c r="B18" s="162" t="str">
        <f>DATA!A13</f>
        <v>Băng Xóa Mini 5 Series Bag Jpn</v>
      </c>
      <c r="C18" s="84" t="str">
        <f>DATA!B13</f>
        <v>cái</v>
      </c>
      <c r="D18" s="85">
        <f>DATA!C13</f>
        <v>9200</v>
      </c>
      <c r="E18" s="66"/>
      <c r="F18" s="66"/>
      <c r="G18" s="66"/>
      <c r="H18" s="66"/>
      <c r="I18" s="66"/>
      <c r="J18" s="66"/>
      <c r="K18" s="66"/>
      <c r="L18" s="67">
        <f t="shared" si="0"/>
        <v>0</v>
      </c>
      <c r="M18" s="66"/>
      <c r="N18" s="66"/>
      <c r="O18" s="66"/>
      <c r="P18" s="68">
        <f t="shared" si="1"/>
        <v>0</v>
      </c>
      <c r="Q18" s="66"/>
      <c r="R18" s="66"/>
      <c r="S18" s="66"/>
      <c r="T18" s="66"/>
      <c r="U18" s="69">
        <f t="shared" si="2"/>
        <v>0</v>
      </c>
      <c r="V18" s="66"/>
      <c r="W18" s="66"/>
      <c r="X18" s="66"/>
      <c r="Y18" s="66"/>
      <c r="Z18" s="66"/>
      <c r="AA18" s="66"/>
      <c r="AB18" s="70">
        <f t="shared" si="3"/>
        <v>0</v>
      </c>
      <c r="AC18" s="71">
        <f t="shared" si="4"/>
        <v>0</v>
      </c>
    </row>
    <row r="19" spans="1:29" ht="26.25">
      <c r="A19" s="79">
        <v>13</v>
      </c>
      <c r="B19" s="162" t="str">
        <f>DATA!A14</f>
        <v>Bìa 1 Nút F4</v>
      </c>
      <c r="C19" s="84" t="str">
        <f>DATA!B14</f>
        <v>cái</v>
      </c>
      <c r="D19" s="85">
        <f>DATA!C14</f>
        <v>2950</v>
      </c>
      <c r="E19" s="66"/>
      <c r="F19" s="66"/>
      <c r="G19" s="66"/>
      <c r="H19" s="66"/>
      <c r="I19" s="66"/>
      <c r="J19" s="66"/>
      <c r="K19" s="66"/>
      <c r="L19" s="67">
        <f t="shared" si="0"/>
        <v>0</v>
      </c>
      <c r="M19" s="66"/>
      <c r="N19" s="66"/>
      <c r="O19" s="66"/>
      <c r="P19" s="68">
        <f t="shared" si="1"/>
        <v>0</v>
      </c>
      <c r="Q19" s="66"/>
      <c r="R19" s="66"/>
      <c r="S19" s="66"/>
      <c r="T19" s="66"/>
      <c r="U19" s="69">
        <f t="shared" si="2"/>
        <v>0</v>
      </c>
      <c r="V19" s="66"/>
      <c r="W19" s="66"/>
      <c r="X19" s="66"/>
      <c r="Y19" s="66"/>
      <c r="Z19" s="66"/>
      <c r="AA19" s="66"/>
      <c r="AB19" s="70">
        <f t="shared" si="3"/>
        <v>0</v>
      </c>
      <c r="AC19" s="71">
        <f t="shared" si="4"/>
        <v>0</v>
      </c>
    </row>
    <row r="20" spans="1:29" ht="26.25">
      <c r="A20" s="81">
        <v>14</v>
      </c>
      <c r="B20" s="162" t="str">
        <f>DATA!A15</f>
        <v>Bìa Accord A4</v>
      </c>
      <c r="C20" s="84" t="str">
        <f>DATA!B15</f>
        <v>cái</v>
      </c>
      <c r="D20" s="85">
        <f>DATA!C15</f>
        <v>3800</v>
      </c>
      <c r="E20" s="66"/>
      <c r="F20" s="66"/>
      <c r="G20" s="66"/>
      <c r="H20" s="66"/>
      <c r="I20" s="66"/>
      <c r="J20" s="66"/>
      <c r="K20" s="66"/>
      <c r="L20" s="67">
        <f t="shared" si="0"/>
        <v>0</v>
      </c>
      <c r="M20" s="66"/>
      <c r="N20" s="66"/>
      <c r="O20" s="66"/>
      <c r="P20" s="68">
        <f t="shared" si="1"/>
        <v>0</v>
      </c>
      <c r="Q20" s="66"/>
      <c r="R20" s="66"/>
      <c r="S20" s="66"/>
      <c r="T20" s="66"/>
      <c r="U20" s="69">
        <f t="shared" si="2"/>
        <v>0</v>
      </c>
      <c r="V20" s="66"/>
      <c r="W20" s="66"/>
      <c r="X20" s="66"/>
      <c r="Y20" s="66"/>
      <c r="Z20" s="66"/>
      <c r="AA20" s="66"/>
      <c r="AB20" s="70">
        <f t="shared" si="3"/>
        <v>0</v>
      </c>
      <c r="AC20" s="71">
        <f t="shared" si="4"/>
        <v>0</v>
      </c>
    </row>
    <row r="21" spans="1:29" ht="26.25">
      <c r="A21" s="79">
        <v>15</v>
      </c>
      <c r="B21" s="162" t="str">
        <f>DATA!A16</f>
        <v>Bìa Còng 7P 2 Mặt Si A4</v>
      </c>
      <c r="C21" s="84" t="str">
        <f>DATA!B16</f>
        <v>cái</v>
      </c>
      <c r="D21" s="85">
        <f>DATA!C16</f>
        <v>24500</v>
      </c>
      <c r="E21" s="66"/>
      <c r="F21" s="66"/>
      <c r="G21" s="66"/>
      <c r="H21" s="66"/>
      <c r="I21" s="66"/>
      <c r="J21" s="66"/>
      <c r="K21" s="66"/>
      <c r="L21" s="67">
        <f t="shared" si="0"/>
        <v>0</v>
      </c>
      <c r="M21" s="66"/>
      <c r="N21" s="66"/>
      <c r="O21" s="66"/>
      <c r="P21" s="68">
        <f t="shared" si="1"/>
        <v>0</v>
      </c>
      <c r="Q21" s="66"/>
      <c r="R21" s="66"/>
      <c r="S21" s="66"/>
      <c r="T21" s="66"/>
      <c r="U21" s="69">
        <f t="shared" si="2"/>
        <v>0</v>
      </c>
      <c r="V21" s="66"/>
      <c r="W21" s="66"/>
      <c r="X21" s="66"/>
      <c r="Y21" s="66"/>
      <c r="Z21" s="66"/>
      <c r="AA21" s="66"/>
      <c r="AB21" s="70">
        <f t="shared" si="3"/>
        <v>0</v>
      </c>
      <c r="AC21" s="71">
        <f t="shared" si="4"/>
        <v>0</v>
      </c>
    </row>
    <row r="22" spans="1:29" ht="26.25">
      <c r="A22" s="81">
        <v>16</v>
      </c>
      <c r="B22" s="162" t="str">
        <f>DATA!A17</f>
        <v>Bìa Còng 7P 2 Mặt Si F4</v>
      </c>
      <c r="C22" s="84" t="str">
        <f>DATA!B17</f>
        <v>cái</v>
      </c>
      <c r="D22" s="85">
        <f>DATA!C17</f>
        <v>21000</v>
      </c>
      <c r="E22" s="66"/>
      <c r="F22" s="66"/>
      <c r="G22" s="66"/>
      <c r="H22" s="66"/>
      <c r="I22" s="66"/>
      <c r="J22" s="66"/>
      <c r="K22" s="66"/>
      <c r="L22" s="67">
        <f t="shared" si="0"/>
        <v>0</v>
      </c>
      <c r="M22" s="66"/>
      <c r="N22" s="66"/>
      <c r="O22" s="66"/>
      <c r="P22" s="68">
        <f t="shared" si="1"/>
        <v>0</v>
      </c>
      <c r="Q22" s="66"/>
      <c r="R22" s="66"/>
      <c r="S22" s="66"/>
      <c r="T22" s="66"/>
      <c r="U22" s="69">
        <f t="shared" si="2"/>
        <v>0</v>
      </c>
      <c r="V22" s="66"/>
      <c r="W22" s="66"/>
      <c r="X22" s="66"/>
      <c r="Y22" s="66"/>
      <c r="Z22" s="66"/>
      <c r="AA22" s="66"/>
      <c r="AB22" s="70">
        <f t="shared" si="3"/>
        <v>0</v>
      </c>
      <c r="AC22" s="71">
        <f t="shared" si="4"/>
        <v>0</v>
      </c>
    </row>
    <row r="23" spans="1:29" ht="26.25">
      <c r="A23" s="79">
        <v>17</v>
      </c>
      <c r="B23" s="162" t="str">
        <f>DATA!A18</f>
        <v>Bìa kẹp trình ký</v>
      </c>
      <c r="C23" s="84" t="str">
        <f>DATA!B18</f>
        <v>cái</v>
      </c>
      <c r="D23" s="85">
        <f>DATA!C18</f>
        <v>21500</v>
      </c>
      <c r="E23" s="66"/>
      <c r="F23" s="66"/>
      <c r="G23" s="66"/>
      <c r="H23" s="66"/>
      <c r="I23" s="66"/>
      <c r="J23" s="66"/>
      <c r="K23" s="66"/>
      <c r="L23" s="67">
        <f t="shared" si="0"/>
        <v>0</v>
      </c>
      <c r="M23" s="66"/>
      <c r="N23" s="66"/>
      <c r="O23" s="66"/>
      <c r="P23" s="68">
        <f t="shared" si="1"/>
        <v>0</v>
      </c>
      <c r="Q23" s="66"/>
      <c r="R23" s="66"/>
      <c r="S23" s="66"/>
      <c r="T23" s="66"/>
      <c r="U23" s="69">
        <f t="shared" si="2"/>
        <v>0</v>
      </c>
      <c r="V23" s="66"/>
      <c r="W23" s="66"/>
      <c r="X23" s="66"/>
      <c r="Y23" s="66"/>
      <c r="Z23" s="66"/>
      <c r="AA23" s="66"/>
      <c r="AB23" s="70">
        <f t="shared" si="3"/>
        <v>0</v>
      </c>
      <c r="AC23" s="71">
        <f t="shared" si="4"/>
        <v>0</v>
      </c>
    </row>
    <row r="24" spans="1:29" ht="26.25">
      <c r="A24" s="81">
        <v>18</v>
      </c>
      <c r="B24" s="162" t="str">
        <f>DATA!A19</f>
        <v>Bìa Lá A4 Plus</v>
      </c>
      <c r="C24" s="84" t="str">
        <f>DATA!B19</f>
        <v>tờ</v>
      </c>
      <c r="D24" s="85">
        <f>DATA!C19</f>
        <v>1950</v>
      </c>
      <c r="E24" s="66"/>
      <c r="F24" s="66"/>
      <c r="G24" s="66"/>
      <c r="H24" s="66"/>
      <c r="I24" s="66"/>
      <c r="J24" s="66"/>
      <c r="K24" s="66"/>
      <c r="L24" s="67">
        <f t="shared" si="0"/>
        <v>0</v>
      </c>
      <c r="M24" s="66"/>
      <c r="N24" s="66"/>
      <c r="O24" s="66"/>
      <c r="P24" s="68">
        <f t="shared" si="1"/>
        <v>0</v>
      </c>
      <c r="Q24" s="66"/>
      <c r="R24" s="66"/>
      <c r="S24" s="66"/>
      <c r="T24" s="66"/>
      <c r="U24" s="69">
        <f t="shared" si="2"/>
        <v>0</v>
      </c>
      <c r="V24" s="66"/>
      <c r="W24" s="66"/>
      <c r="X24" s="66"/>
      <c r="Y24" s="66"/>
      <c r="Z24" s="66"/>
      <c r="AA24" s="66"/>
      <c r="AB24" s="70">
        <f t="shared" si="3"/>
        <v>0</v>
      </c>
      <c r="AC24" s="71">
        <f t="shared" si="4"/>
        <v>0</v>
      </c>
    </row>
    <row r="25" spans="1:29" ht="26.25">
      <c r="A25" s="79">
        <v>19</v>
      </c>
      <c r="B25" s="162" t="str">
        <f>DATA!A20</f>
        <v>Bìa Lổ A4</v>
      </c>
      <c r="C25" s="84" t="str">
        <f>DATA!B20</f>
        <v>tờ</v>
      </c>
      <c r="D25" s="85">
        <f>DATA!C20</f>
        <v>295</v>
      </c>
      <c r="E25" s="66"/>
      <c r="F25" s="66"/>
      <c r="G25" s="66"/>
      <c r="H25" s="66"/>
      <c r="I25" s="66"/>
      <c r="J25" s="66"/>
      <c r="K25" s="66"/>
      <c r="L25" s="67">
        <f t="shared" si="0"/>
        <v>0</v>
      </c>
      <c r="M25" s="66"/>
      <c r="N25" s="66"/>
      <c r="O25" s="66"/>
      <c r="P25" s="68">
        <f t="shared" si="1"/>
        <v>0</v>
      </c>
      <c r="Q25" s="66"/>
      <c r="R25" s="66"/>
      <c r="S25" s="66"/>
      <c r="T25" s="66"/>
      <c r="U25" s="69">
        <f t="shared" si="2"/>
        <v>0</v>
      </c>
      <c r="V25" s="66"/>
      <c r="W25" s="66"/>
      <c r="X25" s="66"/>
      <c r="Y25" s="66"/>
      <c r="Z25" s="66"/>
      <c r="AA25" s="66"/>
      <c r="AB25" s="70">
        <f t="shared" si="3"/>
        <v>0</v>
      </c>
      <c r="AC25" s="71">
        <f t="shared" si="4"/>
        <v>0</v>
      </c>
    </row>
    <row r="26" spans="1:29" ht="26.25">
      <c r="A26" s="81">
        <v>20</v>
      </c>
      <c r="B26" s="162" t="str">
        <f>DATA!A21</f>
        <v>Bìa nút</v>
      </c>
      <c r="C26" s="84" t="str">
        <f>DATA!B21</f>
        <v>cái</v>
      </c>
      <c r="D26" s="85">
        <f>DATA!C21</f>
        <v>2600</v>
      </c>
      <c r="E26" s="66"/>
      <c r="F26" s="66"/>
      <c r="G26" s="66"/>
      <c r="H26" s="66"/>
      <c r="I26" s="66"/>
      <c r="J26" s="66"/>
      <c r="K26" s="66"/>
      <c r="L26" s="67">
        <f t="shared" si="0"/>
        <v>0</v>
      </c>
      <c r="M26" s="66"/>
      <c r="N26" s="66"/>
      <c r="O26" s="66"/>
      <c r="P26" s="68">
        <f t="shared" si="1"/>
        <v>0</v>
      </c>
      <c r="Q26" s="66"/>
      <c r="R26" s="66"/>
      <c r="S26" s="66"/>
      <c r="T26" s="66"/>
      <c r="U26" s="69">
        <f t="shared" si="2"/>
        <v>0</v>
      </c>
      <c r="V26" s="66"/>
      <c r="W26" s="66"/>
      <c r="X26" s="66"/>
      <c r="Y26" s="66"/>
      <c r="Z26" s="66"/>
      <c r="AA26" s="66"/>
      <c r="AB26" s="70">
        <f t="shared" si="3"/>
        <v>0</v>
      </c>
      <c r="AC26" s="71">
        <f t="shared" si="4"/>
        <v>0</v>
      </c>
    </row>
    <row r="27" spans="1:29" ht="26.25">
      <c r="A27" s="79">
        <v>21</v>
      </c>
      <c r="B27" s="162" t="str">
        <f>DATA!A22</f>
        <v>Bìa Thái A4 Sunflower</v>
      </c>
      <c r="C27" s="84" t="str">
        <f>DATA!B22</f>
        <v>xấp</v>
      </c>
      <c r="D27" s="85">
        <f>DATA!C22</f>
        <v>43000</v>
      </c>
      <c r="E27" s="66"/>
      <c r="F27" s="66"/>
      <c r="G27" s="66"/>
      <c r="H27" s="66"/>
      <c r="I27" s="66"/>
      <c r="J27" s="66"/>
      <c r="K27" s="66"/>
      <c r="L27" s="67">
        <f t="shared" si="0"/>
        <v>0</v>
      </c>
      <c r="M27" s="66"/>
      <c r="N27" s="66"/>
      <c r="O27" s="66"/>
      <c r="P27" s="68">
        <f t="shared" si="1"/>
        <v>0</v>
      </c>
      <c r="Q27" s="66"/>
      <c r="R27" s="66"/>
      <c r="S27" s="66"/>
      <c r="T27" s="66"/>
      <c r="U27" s="69">
        <f t="shared" si="2"/>
        <v>0</v>
      </c>
      <c r="V27" s="66"/>
      <c r="W27" s="66"/>
      <c r="X27" s="66"/>
      <c r="Y27" s="66"/>
      <c r="Z27" s="66"/>
      <c r="AA27" s="66"/>
      <c r="AB27" s="70">
        <f t="shared" si="3"/>
        <v>0</v>
      </c>
      <c r="AC27" s="71">
        <f t="shared" si="4"/>
        <v>0</v>
      </c>
    </row>
    <row r="28" spans="1:29" ht="26.25">
      <c r="A28" s="81">
        <v>22</v>
      </c>
      <c r="B28" s="162" t="str">
        <f>DATA!A23</f>
        <v>Bìa Trình Ký Nhựa A4</v>
      </c>
      <c r="C28" s="84" t="str">
        <f>DATA!B23</f>
        <v>cái</v>
      </c>
      <c r="D28" s="85">
        <f>DATA!C23</f>
        <v>21000</v>
      </c>
      <c r="E28" s="66"/>
      <c r="F28" s="66"/>
      <c r="G28" s="66"/>
      <c r="H28" s="66"/>
      <c r="I28" s="66"/>
      <c r="J28" s="66"/>
      <c r="K28" s="66"/>
      <c r="L28" s="67">
        <f t="shared" si="0"/>
        <v>0</v>
      </c>
      <c r="M28" s="66"/>
      <c r="N28" s="66"/>
      <c r="O28" s="66"/>
      <c r="P28" s="68">
        <f t="shared" si="1"/>
        <v>0</v>
      </c>
      <c r="Q28" s="66"/>
      <c r="R28" s="66"/>
      <c r="S28" s="66"/>
      <c r="T28" s="66"/>
      <c r="U28" s="69">
        <f t="shared" si="2"/>
        <v>0</v>
      </c>
      <c r="V28" s="66"/>
      <c r="W28" s="66"/>
      <c r="X28" s="66"/>
      <c r="Y28" s="66"/>
      <c r="Z28" s="66"/>
      <c r="AA28" s="66"/>
      <c r="AB28" s="70">
        <f t="shared" si="3"/>
        <v>0</v>
      </c>
      <c r="AC28" s="71">
        <f t="shared" si="4"/>
        <v>0</v>
      </c>
    </row>
    <row r="29" spans="1:29" ht="26.25">
      <c r="A29" s="79">
        <v>23</v>
      </c>
      <c r="B29" s="162" t="str">
        <f>DATA!A24</f>
        <v>Cắt Băng Keo 5P Cầm Tay</v>
      </c>
      <c r="C29" s="84" t="str">
        <f>DATA!B24</f>
        <v>cái</v>
      </c>
      <c r="D29" s="85">
        <f>DATA!C24</f>
        <v>12300</v>
      </c>
      <c r="E29" s="66"/>
      <c r="F29" s="66"/>
      <c r="G29" s="66"/>
      <c r="H29" s="66"/>
      <c r="I29" s="66"/>
      <c r="J29" s="66"/>
      <c r="K29" s="66"/>
      <c r="L29" s="67">
        <f t="shared" si="0"/>
        <v>0</v>
      </c>
      <c r="M29" s="66"/>
      <c r="N29" s="66"/>
      <c r="O29" s="66"/>
      <c r="P29" s="68">
        <f t="shared" si="1"/>
        <v>0</v>
      </c>
      <c r="Q29" s="66"/>
      <c r="R29" s="66"/>
      <c r="S29" s="66"/>
      <c r="T29" s="66"/>
      <c r="U29" s="69">
        <f t="shared" si="2"/>
        <v>0</v>
      </c>
      <c r="V29" s="66"/>
      <c r="W29" s="66"/>
      <c r="X29" s="66"/>
      <c r="Y29" s="66"/>
      <c r="Z29" s="66"/>
      <c r="AA29" s="66"/>
      <c r="AB29" s="70">
        <f t="shared" si="3"/>
        <v>0</v>
      </c>
      <c r="AC29" s="71">
        <f t="shared" si="4"/>
        <v>0</v>
      </c>
    </row>
    <row r="30" spans="1:29" ht="26.25">
      <c r="A30" s="81">
        <v>24</v>
      </c>
      <c r="B30" s="162" t="str">
        <f>DATA!A25</f>
        <v>Chổi lông gà</v>
      </c>
      <c r="C30" s="84" t="str">
        <f>DATA!B25</f>
        <v>cây</v>
      </c>
      <c r="D30" s="85">
        <f>DATA!C25</f>
        <v>14000</v>
      </c>
      <c r="E30" s="66"/>
      <c r="F30" s="66"/>
      <c r="G30" s="66"/>
      <c r="H30" s="66"/>
      <c r="I30" s="66"/>
      <c r="J30" s="66"/>
      <c r="K30" s="66"/>
      <c r="L30" s="67">
        <f t="shared" si="0"/>
        <v>0</v>
      </c>
      <c r="M30" s="66"/>
      <c r="N30" s="66"/>
      <c r="O30" s="66"/>
      <c r="P30" s="68">
        <f t="shared" si="1"/>
        <v>0</v>
      </c>
      <c r="Q30" s="66"/>
      <c r="R30" s="66"/>
      <c r="S30" s="66"/>
      <c r="T30" s="66"/>
      <c r="U30" s="69">
        <f t="shared" si="2"/>
        <v>0</v>
      </c>
      <c r="V30" s="66"/>
      <c r="W30" s="66"/>
      <c r="X30" s="66"/>
      <c r="Y30" s="66"/>
      <c r="Z30" s="66"/>
      <c r="AA30" s="66"/>
      <c r="AB30" s="70">
        <f t="shared" si="3"/>
        <v>0</v>
      </c>
      <c r="AC30" s="71">
        <f t="shared" si="4"/>
        <v>0</v>
      </c>
    </row>
    <row r="31" spans="1:29" ht="26.25">
      <c r="A31" s="79">
        <v>25</v>
      </c>
      <c r="B31" s="162" t="str">
        <f>DATA!A26</f>
        <v>Chổi trung quét bàn phím</v>
      </c>
      <c r="C31" s="84" t="str">
        <f>DATA!B26</f>
        <v>Cây</v>
      </c>
      <c r="D31" s="85">
        <f>DATA!C26</f>
        <v>32000</v>
      </c>
      <c r="E31" s="66"/>
      <c r="F31" s="66"/>
      <c r="G31" s="66"/>
      <c r="H31" s="66"/>
      <c r="I31" s="66"/>
      <c r="J31" s="66"/>
      <c r="K31" s="66"/>
      <c r="L31" s="67">
        <f t="shared" si="0"/>
        <v>0</v>
      </c>
      <c r="M31" s="66"/>
      <c r="N31" s="66"/>
      <c r="O31" s="66"/>
      <c r="P31" s="68">
        <f t="shared" si="1"/>
        <v>0</v>
      </c>
      <c r="Q31" s="66"/>
      <c r="R31" s="66"/>
      <c r="S31" s="66"/>
      <c r="T31" s="66"/>
      <c r="U31" s="69">
        <f t="shared" si="2"/>
        <v>0</v>
      </c>
      <c r="V31" s="66"/>
      <c r="W31" s="66"/>
      <c r="X31" s="66"/>
      <c r="Y31" s="66"/>
      <c r="Z31" s="66"/>
      <c r="AA31" s="66"/>
      <c r="AB31" s="70">
        <f t="shared" si="3"/>
        <v>0</v>
      </c>
      <c r="AC31" s="71">
        <f t="shared" si="4"/>
        <v>0</v>
      </c>
    </row>
    <row r="32" spans="1:29" ht="26.25">
      <c r="A32" s="81">
        <v>26</v>
      </c>
      <c r="B32" s="162" t="str">
        <f>DATA!A27</f>
        <v>Chuốt Chì Nhỏ Sdi 0137</v>
      </c>
      <c r="C32" s="84" t="str">
        <f>DATA!B27</f>
        <v>cái</v>
      </c>
      <c r="D32" s="85">
        <f>DATA!C27</f>
        <v>4000</v>
      </c>
      <c r="E32" s="66"/>
      <c r="F32" s="66"/>
      <c r="G32" s="66"/>
      <c r="H32" s="66"/>
      <c r="I32" s="66"/>
      <c r="J32" s="66"/>
      <c r="K32" s="66"/>
      <c r="L32" s="67">
        <f t="shared" si="0"/>
        <v>0</v>
      </c>
      <c r="M32" s="66"/>
      <c r="N32" s="66"/>
      <c r="O32" s="66"/>
      <c r="P32" s="68">
        <f t="shared" si="1"/>
        <v>0</v>
      </c>
      <c r="Q32" s="66"/>
      <c r="R32" s="66"/>
      <c r="S32" s="66"/>
      <c r="T32" s="66"/>
      <c r="U32" s="69">
        <f t="shared" si="2"/>
        <v>0</v>
      </c>
      <c r="V32" s="66"/>
      <c r="W32" s="66"/>
      <c r="X32" s="66"/>
      <c r="Y32" s="66"/>
      <c r="Z32" s="66"/>
      <c r="AA32" s="66"/>
      <c r="AB32" s="70">
        <f t="shared" si="3"/>
        <v>0</v>
      </c>
      <c r="AC32" s="71">
        <f t="shared" si="4"/>
        <v>0</v>
      </c>
    </row>
    <row r="33" spans="1:29" ht="26.25">
      <c r="A33" s="79">
        <v>27</v>
      </c>
      <c r="B33" s="162" t="str">
        <f>DATA!A28</f>
        <v>Cồn Nhỏ</v>
      </c>
      <c r="C33" s="84" t="str">
        <f>DATA!B28</f>
        <v>Chai</v>
      </c>
      <c r="D33" s="85">
        <f>DATA!C28</f>
        <v>3500</v>
      </c>
      <c r="E33" s="66"/>
      <c r="F33" s="66"/>
      <c r="G33" s="66"/>
      <c r="H33" s="66"/>
      <c r="I33" s="66">
        <v>2</v>
      </c>
      <c r="J33" s="66"/>
      <c r="K33" s="66"/>
      <c r="L33" s="67">
        <f t="shared" si="0"/>
        <v>2</v>
      </c>
      <c r="M33" s="66"/>
      <c r="N33" s="66"/>
      <c r="O33" s="66"/>
      <c r="P33" s="68">
        <f t="shared" si="1"/>
        <v>0</v>
      </c>
      <c r="Q33" s="66"/>
      <c r="R33" s="66"/>
      <c r="S33" s="66"/>
      <c r="T33" s="66"/>
      <c r="U33" s="69">
        <f t="shared" si="2"/>
        <v>0</v>
      </c>
      <c r="V33" s="66"/>
      <c r="W33" s="66"/>
      <c r="X33" s="66"/>
      <c r="Y33" s="66"/>
      <c r="Z33" s="66"/>
      <c r="AA33" s="66"/>
      <c r="AB33" s="70">
        <f t="shared" si="3"/>
        <v>0</v>
      </c>
      <c r="AC33" s="71">
        <f t="shared" si="4"/>
        <v>2</v>
      </c>
    </row>
    <row r="34" spans="1:29" ht="26.25">
      <c r="A34" s="81">
        <v>28</v>
      </c>
      <c r="B34" s="162" t="str">
        <f>DATA!A29</f>
        <v>Dao Rọc Giấy Lớn Tth 280</v>
      </c>
      <c r="C34" s="84" t="str">
        <f>DATA!B29</f>
        <v>cây</v>
      </c>
      <c r="D34" s="85">
        <f>DATA!C29</f>
        <v>4500</v>
      </c>
      <c r="E34" s="66">
        <v>5</v>
      </c>
      <c r="F34" s="66"/>
      <c r="G34" s="66"/>
      <c r="H34" s="66"/>
      <c r="I34" s="66">
        <v>1</v>
      </c>
      <c r="J34" s="66"/>
      <c r="K34" s="66"/>
      <c r="L34" s="67">
        <f t="shared" si="0"/>
        <v>6</v>
      </c>
      <c r="M34" s="66"/>
      <c r="N34" s="66"/>
      <c r="O34" s="66"/>
      <c r="P34" s="68">
        <f t="shared" si="1"/>
        <v>0</v>
      </c>
      <c r="Q34" s="66"/>
      <c r="R34" s="66"/>
      <c r="S34" s="66"/>
      <c r="T34" s="66"/>
      <c r="U34" s="69">
        <f t="shared" si="2"/>
        <v>0</v>
      </c>
      <c r="V34" s="66"/>
      <c r="W34" s="66"/>
      <c r="X34" s="66"/>
      <c r="Y34" s="66"/>
      <c r="Z34" s="66"/>
      <c r="AA34" s="66"/>
      <c r="AB34" s="70">
        <f t="shared" si="3"/>
        <v>0</v>
      </c>
      <c r="AC34" s="71">
        <f t="shared" si="4"/>
        <v>6</v>
      </c>
    </row>
    <row r="35" spans="1:29" ht="30">
      <c r="A35" s="79">
        <v>29</v>
      </c>
      <c r="B35" s="162" t="str">
        <f>DATA!A30</f>
        <v>Dao rọc giấy nhỏ SDI (loại 3 lưỡi)</v>
      </c>
      <c r="C35" s="84" t="str">
        <f>DATA!B30</f>
        <v>cây</v>
      </c>
      <c r="D35" s="85">
        <f>DATA!C30</f>
        <v>9500</v>
      </c>
      <c r="E35" s="66"/>
      <c r="F35" s="66"/>
      <c r="G35" s="66">
        <v>4</v>
      </c>
      <c r="H35" s="66"/>
      <c r="I35" s="66"/>
      <c r="J35" s="66"/>
      <c r="K35" s="66">
        <v>1</v>
      </c>
      <c r="L35" s="67">
        <f t="shared" si="0"/>
        <v>5</v>
      </c>
      <c r="M35" s="66"/>
      <c r="N35" s="66"/>
      <c r="O35" s="66"/>
      <c r="P35" s="68">
        <f t="shared" si="1"/>
        <v>0</v>
      </c>
      <c r="Q35" s="66"/>
      <c r="R35" s="66"/>
      <c r="S35" s="66"/>
      <c r="T35" s="66"/>
      <c r="U35" s="69">
        <f t="shared" si="2"/>
        <v>0</v>
      </c>
      <c r="V35" s="66"/>
      <c r="W35" s="66"/>
      <c r="X35" s="66"/>
      <c r="Y35" s="66"/>
      <c r="Z35" s="66"/>
      <c r="AA35" s="66"/>
      <c r="AB35" s="70">
        <f t="shared" si="3"/>
        <v>0</v>
      </c>
      <c r="AC35" s="71">
        <f t="shared" si="4"/>
        <v>5</v>
      </c>
    </row>
    <row r="36" spans="1:29" ht="26.25">
      <c r="A36" s="81">
        <v>30</v>
      </c>
      <c r="B36" s="162" t="str">
        <f>DATA!A31</f>
        <v>Dao Rọc Giấy Lớn Sdi</v>
      </c>
      <c r="C36" s="84" t="str">
        <f>DATA!B31</f>
        <v>cây</v>
      </c>
      <c r="D36" s="85">
        <f>DATA!C31</f>
        <v>14000</v>
      </c>
      <c r="E36" s="66"/>
      <c r="F36" s="66"/>
      <c r="G36" s="66"/>
      <c r="H36" s="66"/>
      <c r="I36" s="66"/>
      <c r="J36" s="66"/>
      <c r="K36" s="66"/>
      <c r="L36" s="67">
        <f t="shared" si="0"/>
        <v>0</v>
      </c>
      <c r="M36" s="66"/>
      <c r="N36" s="66"/>
      <c r="O36" s="66"/>
      <c r="P36" s="68">
        <f t="shared" si="1"/>
        <v>0</v>
      </c>
      <c r="Q36" s="66"/>
      <c r="R36" s="66"/>
      <c r="S36" s="66"/>
      <c r="T36" s="66"/>
      <c r="U36" s="69">
        <f t="shared" si="2"/>
        <v>0</v>
      </c>
      <c r="V36" s="66"/>
      <c r="W36" s="66"/>
      <c r="X36" s="66"/>
      <c r="Y36" s="66"/>
      <c r="Z36" s="66"/>
      <c r="AA36" s="66"/>
      <c r="AB36" s="70">
        <f t="shared" si="3"/>
        <v>0</v>
      </c>
      <c r="AC36" s="71">
        <f t="shared" si="4"/>
        <v>0</v>
      </c>
    </row>
    <row r="37" spans="1:29" ht="26.25">
      <c r="A37" s="79">
        <v>31</v>
      </c>
      <c r="B37" s="162" t="str">
        <f>DATA!A32</f>
        <v>Dao Rọc Giấy Nhỏ Sdi</v>
      </c>
      <c r="C37" s="84" t="str">
        <f>DATA!B32</f>
        <v>cây</v>
      </c>
      <c r="D37" s="85">
        <f>DATA!C32</f>
        <v>20500</v>
      </c>
      <c r="E37" s="66"/>
      <c r="F37" s="66"/>
      <c r="G37" s="66"/>
      <c r="H37" s="66"/>
      <c r="I37" s="66"/>
      <c r="J37" s="66"/>
      <c r="K37" s="66"/>
      <c r="L37" s="67">
        <f t="shared" si="0"/>
        <v>0</v>
      </c>
      <c r="M37" s="66"/>
      <c r="N37" s="66"/>
      <c r="O37" s="66"/>
      <c r="P37" s="68">
        <f t="shared" si="1"/>
        <v>0</v>
      </c>
      <c r="Q37" s="66"/>
      <c r="R37" s="66"/>
      <c r="S37" s="66"/>
      <c r="T37" s="66"/>
      <c r="U37" s="69">
        <f t="shared" si="2"/>
        <v>0</v>
      </c>
      <c r="V37" s="66"/>
      <c r="W37" s="66"/>
      <c r="X37" s="66"/>
      <c r="Y37" s="66"/>
      <c r="Z37" s="66"/>
      <c r="AA37" s="66"/>
      <c r="AB37" s="70">
        <f t="shared" si="3"/>
        <v>0</v>
      </c>
      <c r="AC37" s="71">
        <f t="shared" si="4"/>
        <v>0</v>
      </c>
    </row>
    <row r="38" spans="1:29" ht="26.25">
      <c r="A38" s="81">
        <v>32</v>
      </c>
      <c r="B38" s="162" t="str">
        <f>DATA!A33</f>
        <v>Đinh ghim bảng đầu nhựa</v>
      </c>
      <c r="C38" s="84" t="str">
        <f>DATA!B33</f>
        <v>bịch</v>
      </c>
      <c r="D38" s="85">
        <f>DATA!C33</f>
        <v>3000</v>
      </c>
      <c r="E38" s="66"/>
      <c r="F38" s="66"/>
      <c r="G38" s="66"/>
      <c r="H38" s="66"/>
      <c r="I38" s="66"/>
      <c r="J38" s="66"/>
      <c r="K38" s="66"/>
      <c r="L38" s="67">
        <f t="shared" si="0"/>
        <v>0</v>
      </c>
      <c r="M38" s="66"/>
      <c r="N38" s="66"/>
      <c r="O38" s="66"/>
      <c r="P38" s="68">
        <f t="shared" si="1"/>
        <v>0</v>
      </c>
      <c r="Q38" s="66"/>
      <c r="R38" s="66"/>
      <c r="S38" s="66"/>
      <c r="T38" s="66"/>
      <c r="U38" s="69">
        <f t="shared" si="2"/>
        <v>0</v>
      </c>
      <c r="V38" s="66"/>
      <c r="W38" s="66"/>
      <c r="X38" s="66"/>
      <c r="Y38" s="66"/>
      <c r="Z38" s="66"/>
      <c r="AA38" s="66"/>
      <c r="AB38" s="70">
        <f t="shared" si="3"/>
        <v>0</v>
      </c>
      <c r="AC38" s="71">
        <f t="shared" si="4"/>
        <v>0</v>
      </c>
    </row>
    <row r="39" spans="1:29" ht="30">
      <c r="A39" s="79">
        <v>33</v>
      </c>
      <c r="B39" s="162" t="str">
        <f>DATA!A34</f>
        <v>Đồ lau bảng (sử dụng bảng viết lông)</v>
      </c>
      <c r="C39" s="84" t="str">
        <f>DATA!B34</f>
        <v>cái</v>
      </c>
      <c r="D39" s="85">
        <f>DATA!C34</f>
        <v>10200</v>
      </c>
      <c r="E39" s="66"/>
      <c r="F39" s="66"/>
      <c r="G39" s="66"/>
      <c r="H39" s="66"/>
      <c r="I39" s="66"/>
      <c r="J39" s="66"/>
      <c r="K39" s="66"/>
      <c r="L39" s="67">
        <f t="shared" si="0"/>
        <v>0</v>
      </c>
      <c r="M39" s="66"/>
      <c r="N39" s="66"/>
      <c r="O39" s="66"/>
      <c r="P39" s="68">
        <f t="shared" si="1"/>
        <v>0</v>
      </c>
      <c r="Q39" s="66"/>
      <c r="R39" s="66"/>
      <c r="S39" s="66"/>
      <c r="T39" s="66"/>
      <c r="U39" s="69">
        <f t="shared" si="2"/>
        <v>0</v>
      </c>
      <c r="V39" s="66"/>
      <c r="W39" s="66"/>
      <c r="X39" s="66"/>
      <c r="Y39" s="66"/>
      <c r="Z39" s="66"/>
      <c r="AA39" s="66"/>
      <c r="AB39" s="70">
        <f t="shared" si="3"/>
        <v>0</v>
      </c>
      <c r="AC39" s="71">
        <f t="shared" si="4"/>
        <v>0</v>
      </c>
    </row>
    <row r="40" spans="1:29" ht="26.25">
      <c r="A40" s="81">
        <v>34</v>
      </c>
      <c r="B40" s="162" t="str">
        <f>DATA!A35</f>
        <v xml:space="preserve">Giấy bấm giá TTH </v>
      </c>
      <c r="C40" s="84" t="str">
        <f>DATA!B35</f>
        <v>cuộn</v>
      </c>
      <c r="D40" s="85">
        <f>DATA!C35</f>
        <v>3000</v>
      </c>
      <c r="E40" s="66"/>
      <c r="F40" s="66"/>
      <c r="G40" s="66"/>
      <c r="H40" s="66"/>
      <c r="I40" s="66"/>
      <c r="J40" s="66"/>
      <c r="K40" s="66"/>
      <c r="L40" s="67">
        <f t="shared" si="0"/>
        <v>0</v>
      </c>
      <c r="M40" s="66"/>
      <c r="N40" s="66"/>
      <c r="O40" s="66"/>
      <c r="P40" s="68">
        <f t="shared" si="1"/>
        <v>0</v>
      </c>
      <c r="Q40" s="66"/>
      <c r="R40" s="66"/>
      <c r="S40" s="66"/>
      <c r="T40" s="66"/>
      <c r="U40" s="69">
        <f t="shared" si="2"/>
        <v>0</v>
      </c>
      <c r="V40" s="66"/>
      <c r="W40" s="66"/>
      <c r="X40" s="66"/>
      <c r="Y40" s="66"/>
      <c r="Z40" s="66">
        <v>5</v>
      </c>
      <c r="AA40" s="66"/>
      <c r="AB40" s="70">
        <f t="shared" si="3"/>
        <v>5</v>
      </c>
      <c r="AC40" s="71">
        <f t="shared" si="4"/>
        <v>5</v>
      </c>
    </row>
    <row r="41" spans="1:29" ht="26.25">
      <c r="A41" s="79">
        <v>35</v>
      </c>
      <c r="B41" s="162" t="str">
        <f>DATA!A36</f>
        <v>Giấy ghi chú 2''*3</v>
      </c>
      <c r="C41" s="84" t="str">
        <f>DATA!B36</f>
        <v>xấp</v>
      </c>
      <c r="D41" s="85">
        <f>DATA!C36</f>
        <v>4000</v>
      </c>
      <c r="E41" s="66"/>
      <c r="F41" s="66"/>
      <c r="G41" s="66"/>
      <c r="H41" s="66"/>
      <c r="I41" s="66"/>
      <c r="J41" s="66"/>
      <c r="K41" s="66"/>
      <c r="L41" s="67">
        <f t="shared" si="0"/>
        <v>0</v>
      </c>
      <c r="M41" s="66"/>
      <c r="N41" s="66"/>
      <c r="O41" s="66"/>
      <c r="P41" s="68">
        <f t="shared" si="1"/>
        <v>0</v>
      </c>
      <c r="Q41" s="66"/>
      <c r="R41" s="66"/>
      <c r="S41" s="66"/>
      <c r="T41" s="66"/>
      <c r="U41" s="69">
        <f t="shared" si="2"/>
        <v>0</v>
      </c>
      <c r="V41" s="66"/>
      <c r="W41" s="66"/>
      <c r="X41" s="66"/>
      <c r="Y41" s="66"/>
      <c r="Z41" s="66"/>
      <c r="AA41" s="66"/>
      <c r="AB41" s="70">
        <f t="shared" si="3"/>
        <v>0</v>
      </c>
      <c r="AC41" s="71">
        <f t="shared" si="4"/>
        <v>0</v>
      </c>
    </row>
    <row r="42" spans="1:29" ht="26.25">
      <c r="A42" s="81">
        <v>36</v>
      </c>
      <c r="B42" s="162" t="str">
        <f>DATA!A37</f>
        <v>Giấy ghi chú 1''*2</v>
      </c>
      <c r="C42" s="84" t="str">
        <f>DATA!B37</f>
        <v>xấp</v>
      </c>
      <c r="D42" s="85">
        <f>DATA!C37</f>
        <v>2800</v>
      </c>
      <c r="E42" s="66"/>
      <c r="F42" s="66"/>
      <c r="G42" s="66"/>
      <c r="H42" s="66"/>
      <c r="I42" s="66"/>
      <c r="J42" s="66"/>
      <c r="K42" s="66"/>
      <c r="L42" s="67">
        <f t="shared" si="0"/>
        <v>0</v>
      </c>
      <c r="M42" s="66"/>
      <c r="N42" s="66"/>
      <c r="O42" s="66"/>
      <c r="P42" s="68">
        <f t="shared" si="1"/>
        <v>0</v>
      </c>
      <c r="Q42" s="66"/>
      <c r="R42" s="66"/>
      <c r="S42" s="66"/>
      <c r="T42" s="66"/>
      <c r="U42" s="69">
        <f t="shared" si="2"/>
        <v>0</v>
      </c>
      <c r="V42" s="66"/>
      <c r="W42" s="66"/>
      <c r="X42" s="66"/>
      <c r="Y42" s="66"/>
      <c r="Z42" s="66"/>
      <c r="AA42" s="66"/>
      <c r="AB42" s="70">
        <f t="shared" si="3"/>
        <v>0</v>
      </c>
      <c r="AC42" s="71">
        <f t="shared" si="4"/>
        <v>0</v>
      </c>
    </row>
    <row r="43" spans="1:29" ht="26.25">
      <c r="A43" s="79">
        <v>37</v>
      </c>
      <c r="B43" s="162" t="str">
        <f>DATA!A38</f>
        <v>Giấy ghi chú 3''*3</v>
      </c>
      <c r="C43" s="84" t="str">
        <f>DATA!B38</f>
        <v>xấp</v>
      </c>
      <c r="D43" s="85">
        <f>DATA!C38</f>
        <v>4800</v>
      </c>
      <c r="E43" s="66"/>
      <c r="F43" s="66"/>
      <c r="G43" s="66"/>
      <c r="H43" s="66"/>
      <c r="I43" s="66"/>
      <c r="J43" s="66"/>
      <c r="K43" s="66"/>
      <c r="L43" s="67">
        <f t="shared" si="0"/>
        <v>0</v>
      </c>
      <c r="M43" s="66"/>
      <c r="N43" s="66"/>
      <c r="O43" s="66"/>
      <c r="P43" s="68">
        <f t="shared" si="1"/>
        <v>0</v>
      </c>
      <c r="Q43" s="66"/>
      <c r="R43" s="66"/>
      <c r="S43" s="66"/>
      <c r="T43" s="66"/>
      <c r="U43" s="69">
        <f t="shared" si="2"/>
        <v>0</v>
      </c>
      <c r="V43" s="66"/>
      <c r="W43" s="66"/>
      <c r="X43" s="66"/>
      <c r="Y43" s="66"/>
      <c r="Z43" s="66"/>
      <c r="AA43" s="66"/>
      <c r="AB43" s="70">
        <f t="shared" si="3"/>
        <v>0</v>
      </c>
      <c r="AC43" s="71">
        <f t="shared" si="4"/>
        <v>0</v>
      </c>
    </row>
    <row r="44" spans="1:29" ht="26.25">
      <c r="A44" s="81">
        <v>38</v>
      </c>
      <c r="B44" s="162" t="str">
        <f>DATA!A39</f>
        <v>Giấy ghi chú 3''*4</v>
      </c>
      <c r="C44" s="84" t="str">
        <f>DATA!B39</f>
        <v>xấp</v>
      </c>
      <c r="D44" s="85">
        <f>DATA!C39</f>
        <v>6300</v>
      </c>
      <c r="E44" s="66"/>
      <c r="F44" s="66"/>
      <c r="G44" s="66"/>
      <c r="H44" s="66"/>
      <c r="I44" s="66"/>
      <c r="J44" s="66"/>
      <c r="K44" s="66"/>
      <c r="L44" s="67">
        <f t="shared" si="0"/>
        <v>0</v>
      </c>
      <c r="M44" s="66"/>
      <c r="N44" s="66"/>
      <c r="O44" s="66"/>
      <c r="P44" s="68">
        <f t="shared" si="1"/>
        <v>0</v>
      </c>
      <c r="Q44" s="66"/>
      <c r="R44" s="66"/>
      <c r="S44" s="66"/>
      <c r="T44" s="66"/>
      <c r="U44" s="69">
        <f t="shared" si="2"/>
        <v>0</v>
      </c>
      <c r="V44" s="66"/>
      <c r="W44" s="66"/>
      <c r="X44" s="66"/>
      <c r="Y44" s="66"/>
      <c r="Z44" s="66"/>
      <c r="AA44" s="66"/>
      <c r="AB44" s="70">
        <f t="shared" si="3"/>
        <v>0</v>
      </c>
      <c r="AC44" s="71">
        <f t="shared" si="4"/>
        <v>0</v>
      </c>
    </row>
    <row r="45" spans="1:29" ht="26.25">
      <c r="A45" s="79">
        <v>39</v>
      </c>
      <c r="B45" s="162" t="str">
        <f>DATA!A40</f>
        <v>Gôm TL nhỏ</v>
      </c>
      <c r="C45" s="84" t="str">
        <f>DATA!B40</f>
        <v>Cục</v>
      </c>
      <c r="D45" s="85">
        <f>DATA!C40</f>
        <v>3200</v>
      </c>
      <c r="E45" s="66"/>
      <c r="F45" s="66"/>
      <c r="G45" s="66"/>
      <c r="H45" s="66"/>
      <c r="I45" s="66"/>
      <c r="J45" s="66"/>
      <c r="K45" s="66"/>
      <c r="L45" s="67">
        <f t="shared" si="0"/>
        <v>0</v>
      </c>
      <c r="M45" s="66"/>
      <c r="N45" s="66"/>
      <c r="O45" s="66"/>
      <c r="P45" s="68">
        <f t="shared" si="1"/>
        <v>0</v>
      </c>
      <c r="Q45" s="66"/>
      <c r="R45" s="66"/>
      <c r="S45" s="66"/>
      <c r="T45" s="66"/>
      <c r="U45" s="69">
        <f t="shared" si="2"/>
        <v>0</v>
      </c>
      <c r="V45" s="66"/>
      <c r="W45" s="66"/>
      <c r="X45" s="66"/>
      <c r="Y45" s="66"/>
      <c r="Z45" s="66"/>
      <c r="AA45" s="66"/>
      <c r="AB45" s="70">
        <f t="shared" si="3"/>
        <v>0</v>
      </c>
      <c r="AC45" s="71">
        <f t="shared" si="4"/>
        <v>0</v>
      </c>
    </row>
    <row r="46" spans="1:29" ht="26.25">
      <c r="A46" s="81">
        <v>40</v>
      </c>
      <c r="B46" s="162" t="str">
        <f>DATA!A41</f>
        <v>Gôm TL trung</v>
      </c>
      <c r="C46" s="84" t="str">
        <f>DATA!B41</f>
        <v>Cục</v>
      </c>
      <c r="D46" s="85">
        <f>DATA!C41</f>
        <v>4000</v>
      </c>
      <c r="E46" s="66"/>
      <c r="F46" s="66"/>
      <c r="G46" s="66"/>
      <c r="H46" s="66"/>
      <c r="I46" s="66"/>
      <c r="J46" s="66"/>
      <c r="K46" s="66"/>
      <c r="L46" s="67">
        <f t="shared" si="0"/>
        <v>0</v>
      </c>
      <c r="M46" s="66"/>
      <c r="N46" s="66"/>
      <c r="O46" s="66"/>
      <c r="P46" s="68">
        <f t="shared" si="1"/>
        <v>0</v>
      </c>
      <c r="Q46" s="66"/>
      <c r="R46" s="66"/>
      <c r="S46" s="66"/>
      <c r="T46" s="66"/>
      <c r="U46" s="69">
        <f t="shared" si="2"/>
        <v>0</v>
      </c>
      <c r="V46" s="66"/>
      <c r="W46" s="66"/>
      <c r="X46" s="66"/>
      <c r="Y46" s="66"/>
      <c r="Z46" s="66"/>
      <c r="AA46" s="66"/>
      <c r="AB46" s="70">
        <f t="shared" si="3"/>
        <v>0</v>
      </c>
      <c r="AC46" s="71">
        <f t="shared" si="4"/>
        <v>0</v>
      </c>
    </row>
    <row r="47" spans="1:29" ht="26.25">
      <c r="A47" s="79">
        <v>41</v>
      </c>
      <c r="B47" s="162" t="str">
        <f>DATA!A42</f>
        <v>Hồ nước</v>
      </c>
      <c r="C47" s="84" t="str">
        <f>DATA!B42</f>
        <v>hộp</v>
      </c>
      <c r="D47" s="85">
        <f>DATA!C42</f>
        <v>2150</v>
      </c>
      <c r="E47" s="66"/>
      <c r="F47" s="66"/>
      <c r="G47" s="66"/>
      <c r="H47" s="66"/>
      <c r="I47" s="66"/>
      <c r="J47" s="66"/>
      <c r="K47" s="66"/>
      <c r="L47" s="67">
        <f t="shared" si="0"/>
        <v>0</v>
      </c>
      <c r="M47" s="66"/>
      <c r="N47" s="66"/>
      <c r="O47" s="66"/>
      <c r="P47" s="68">
        <f t="shared" si="1"/>
        <v>0</v>
      </c>
      <c r="Q47" s="66"/>
      <c r="R47" s="66"/>
      <c r="S47" s="66"/>
      <c r="T47" s="66"/>
      <c r="U47" s="69">
        <f t="shared" si="2"/>
        <v>0</v>
      </c>
      <c r="V47" s="66"/>
      <c r="W47" s="66"/>
      <c r="X47" s="66"/>
      <c r="Y47" s="66"/>
      <c r="Z47" s="66"/>
      <c r="AA47" s="66"/>
      <c r="AB47" s="70">
        <f t="shared" si="3"/>
        <v>0</v>
      </c>
      <c r="AC47" s="71">
        <f t="shared" si="4"/>
        <v>0</v>
      </c>
    </row>
    <row r="48" spans="1:29" ht="26.25">
      <c r="A48" s="81">
        <v>42</v>
      </c>
      <c r="B48" s="162" t="str">
        <f>DATA!A43</f>
        <v>Kéo lớn S100</v>
      </c>
      <c r="C48" s="84" t="str">
        <f>DATA!B43</f>
        <v>cây</v>
      </c>
      <c r="D48" s="85">
        <f>DATA!C43</f>
        <v>16200</v>
      </c>
      <c r="E48" s="66"/>
      <c r="F48" s="66"/>
      <c r="G48" s="66"/>
      <c r="H48" s="66"/>
      <c r="I48" s="66"/>
      <c r="J48" s="66"/>
      <c r="K48" s="66"/>
      <c r="L48" s="67">
        <f t="shared" si="0"/>
        <v>0</v>
      </c>
      <c r="M48" s="66"/>
      <c r="N48" s="66"/>
      <c r="O48" s="66"/>
      <c r="P48" s="68">
        <f t="shared" si="1"/>
        <v>0</v>
      </c>
      <c r="Q48" s="66"/>
      <c r="R48" s="66"/>
      <c r="S48" s="66"/>
      <c r="T48" s="66"/>
      <c r="U48" s="69">
        <f t="shared" si="2"/>
        <v>0</v>
      </c>
      <c r="V48" s="66"/>
      <c r="W48" s="66"/>
      <c r="X48" s="66"/>
      <c r="Y48" s="66"/>
      <c r="Z48" s="66"/>
      <c r="AA48" s="66"/>
      <c r="AB48" s="70">
        <f t="shared" si="3"/>
        <v>0</v>
      </c>
      <c r="AC48" s="71">
        <f t="shared" si="4"/>
        <v>0</v>
      </c>
    </row>
    <row r="49" spans="1:29" ht="26.25">
      <c r="A49" s="79">
        <v>43</v>
      </c>
      <c r="B49" s="162" t="str">
        <f>DATA!A44</f>
        <v xml:space="preserve">Kéo nhỏ NO.S120 </v>
      </c>
      <c r="C49" s="84" t="str">
        <f>DATA!B44</f>
        <v>cây</v>
      </c>
      <c r="D49" s="85">
        <f>DATA!C44</f>
        <v>7000</v>
      </c>
      <c r="E49" s="66"/>
      <c r="F49" s="66"/>
      <c r="G49" s="66"/>
      <c r="H49" s="66"/>
      <c r="I49" s="66"/>
      <c r="J49" s="66"/>
      <c r="K49" s="66"/>
      <c r="L49" s="67">
        <f t="shared" si="0"/>
        <v>0</v>
      </c>
      <c r="M49" s="66"/>
      <c r="N49" s="66"/>
      <c r="O49" s="66"/>
      <c r="P49" s="68">
        <f t="shared" si="1"/>
        <v>0</v>
      </c>
      <c r="Q49" s="66"/>
      <c r="R49" s="66"/>
      <c r="S49" s="66"/>
      <c r="T49" s="66"/>
      <c r="U49" s="69">
        <f t="shared" si="2"/>
        <v>0</v>
      </c>
      <c r="V49" s="66"/>
      <c r="W49" s="66"/>
      <c r="X49" s="66"/>
      <c r="Y49" s="66"/>
      <c r="Z49" s="66"/>
      <c r="AA49" s="66"/>
      <c r="AB49" s="70">
        <f t="shared" si="3"/>
        <v>0</v>
      </c>
      <c r="AC49" s="71">
        <f t="shared" si="4"/>
        <v>0</v>
      </c>
    </row>
    <row r="50" spans="1:29" ht="30">
      <c r="A50" s="81">
        <v>44</v>
      </c>
      <c r="B50" s="162" t="str">
        <f>DATA!A45</f>
        <v>Keo Nước Thiên Long Lớn 30Ml</v>
      </c>
      <c r="C50" s="84" t="str">
        <f>DATA!B45</f>
        <v>lọ</v>
      </c>
      <c r="D50" s="85">
        <f>DATA!C45</f>
        <v>2500</v>
      </c>
      <c r="E50" s="66"/>
      <c r="F50" s="66"/>
      <c r="G50" s="66"/>
      <c r="H50" s="66"/>
      <c r="I50" s="66"/>
      <c r="J50" s="66"/>
      <c r="K50" s="66"/>
      <c r="L50" s="67">
        <f t="shared" si="0"/>
        <v>0</v>
      </c>
      <c r="M50" s="66"/>
      <c r="N50" s="66"/>
      <c r="O50" s="66"/>
      <c r="P50" s="68">
        <f t="shared" si="1"/>
        <v>0</v>
      </c>
      <c r="Q50" s="66"/>
      <c r="R50" s="66"/>
      <c r="S50" s="66"/>
      <c r="T50" s="66"/>
      <c r="U50" s="69">
        <f t="shared" si="2"/>
        <v>0</v>
      </c>
      <c r="V50" s="66"/>
      <c r="W50" s="66"/>
      <c r="X50" s="66"/>
      <c r="Y50" s="66"/>
      <c r="Z50" s="66"/>
      <c r="AA50" s="66"/>
      <c r="AB50" s="70">
        <f t="shared" si="3"/>
        <v>0</v>
      </c>
      <c r="AC50" s="71">
        <f t="shared" si="4"/>
        <v>0</v>
      </c>
    </row>
    <row r="51" spans="1:29" ht="26.25">
      <c r="A51" s="79">
        <v>45</v>
      </c>
      <c r="B51" s="162" t="str">
        <f>DATA!A46</f>
        <v>Kéo Suremark-8815</v>
      </c>
      <c r="C51" s="84" t="str">
        <f>DATA!B46</f>
        <v>cây</v>
      </c>
      <c r="D51" s="85">
        <f>DATA!C46</f>
        <v>12500</v>
      </c>
      <c r="E51" s="66"/>
      <c r="F51" s="66"/>
      <c r="G51" s="66"/>
      <c r="H51" s="66"/>
      <c r="I51" s="66"/>
      <c r="J51" s="66"/>
      <c r="K51" s="66"/>
      <c r="L51" s="67">
        <f t="shared" si="0"/>
        <v>0</v>
      </c>
      <c r="M51" s="66"/>
      <c r="N51" s="66"/>
      <c r="O51" s="66"/>
      <c r="P51" s="68">
        <f t="shared" si="1"/>
        <v>0</v>
      </c>
      <c r="Q51" s="66"/>
      <c r="R51" s="66"/>
      <c r="S51" s="66"/>
      <c r="T51" s="66"/>
      <c r="U51" s="69">
        <f t="shared" si="2"/>
        <v>0</v>
      </c>
      <c r="V51" s="66"/>
      <c r="W51" s="66"/>
      <c r="X51" s="66"/>
      <c r="Y51" s="66"/>
      <c r="Z51" s="66"/>
      <c r="AA51" s="66"/>
      <c r="AB51" s="70">
        <f t="shared" si="3"/>
        <v>0</v>
      </c>
      <c r="AC51" s="71">
        <f t="shared" si="4"/>
        <v>0</v>
      </c>
    </row>
    <row r="52" spans="1:29" ht="26.25">
      <c r="A52" s="81">
        <v>46</v>
      </c>
      <c r="B52" s="162" t="str">
        <f>DATA!A47</f>
        <v xml:space="preserve">Kẹp bảng tên </v>
      </c>
      <c r="C52" s="84" t="str">
        <f>DATA!B47</f>
        <v>cái</v>
      </c>
      <c r="D52" s="85">
        <f>DATA!C47</f>
        <v>1250</v>
      </c>
      <c r="E52" s="66"/>
      <c r="F52" s="66"/>
      <c r="G52" s="66"/>
      <c r="H52" s="66"/>
      <c r="I52" s="66"/>
      <c r="J52" s="66"/>
      <c r="K52" s="66"/>
      <c r="L52" s="67">
        <f t="shared" si="0"/>
        <v>0</v>
      </c>
      <c r="M52" s="66"/>
      <c r="N52" s="66"/>
      <c r="O52" s="66"/>
      <c r="P52" s="68">
        <f t="shared" si="1"/>
        <v>0</v>
      </c>
      <c r="Q52" s="66"/>
      <c r="R52" s="66"/>
      <c r="S52" s="66"/>
      <c r="T52" s="66"/>
      <c r="U52" s="69">
        <f t="shared" si="2"/>
        <v>0</v>
      </c>
      <c r="V52" s="66"/>
      <c r="W52" s="66"/>
      <c r="X52" s="66"/>
      <c r="Y52" s="66"/>
      <c r="Z52" s="66"/>
      <c r="AA52" s="66"/>
      <c r="AB52" s="70">
        <f t="shared" si="3"/>
        <v>0</v>
      </c>
      <c r="AC52" s="71">
        <f t="shared" si="4"/>
        <v>0</v>
      </c>
    </row>
    <row r="53" spans="1:29" ht="26.25">
      <c r="A53" s="79">
        <v>47</v>
      </c>
      <c r="B53" s="162" t="str">
        <f>DATA!A48</f>
        <v>Kim Kẹp Giấy Sắt C62</v>
      </c>
      <c r="C53" s="84" t="str">
        <f>DATA!B48</f>
        <v>hộp</v>
      </c>
      <c r="D53" s="85">
        <f>DATA!C48</f>
        <v>2500</v>
      </c>
      <c r="E53" s="66"/>
      <c r="F53" s="66"/>
      <c r="G53" s="66"/>
      <c r="H53" s="66"/>
      <c r="I53" s="66"/>
      <c r="J53" s="66"/>
      <c r="K53" s="66"/>
      <c r="L53" s="67">
        <f t="shared" si="0"/>
        <v>0</v>
      </c>
      <c r="M53" s="66"/>
      <c r="N53" s="66"/>
      <c r="O53" s="66"/>
      <c r="P53" s="68">
        <f t="shared" si="1"/>
        <v>0</v>
      </c>
      <c r="Q53" s="66"/>
      <c r="R53" s="66"/>
      <c r="S53" s="66"/>
      <c r="T53" s="66"/>
      <c r="U53" s="69">
        <f t="shared" si="2"/>
        <v>0</v>
      </c>
      <c r="V53" s="66"/>
      <c r="W53" s="66"/>
      <c r="X53" s="66"/>
      <c r="Y53" s="66"/>
      <c r="Z53" s="66"/>
      <c r="AA53" s="66"/>
      <c r="AB53" s="70">
        <f t="shared" si="3"/>
        <v>0</v>
      </c>
      <c r="AC53" s="71">
        <f t="shared" si="4"/>
        <v>0</v>
      </c>
    </row>
    <row r="54" spans="1:29" ht="26.25">
      <c r="A54" s="81">
        <v>48</v>
      </c>
      <c r="B54" s="162" t="str">
        <f>DATA!A49</f>
        <v>Khăn Trắng</v>
      </c>
      <c r="C54" s="84" t="str">
        <f>DATA!B49</f>
        <v>cái</v>
      </c>
      <c r="D54" s="85">
        <f>DATA!C49</f>
        <v>4000</v>
      </c>
      <c r="E54" s="66"/>
      <c r="F54" s="66"/>
      <c r="G54" s="66"/>
      <c r="H54" s="66"/>
      <c r="I54" s="66"/>
      <c r="J54" s="66"/>
      <c r="K54" s="66"/>
      <c r="L54" s="67">
        <f t="shared" si="0"/>
        <v>0</v>
      </c>
      <c r="M54" s="66"/>
      <c r="N54" s="66"/>
      <c r="O54" s="66"/>
      <c r="P54" s="68">
        <f t="shared" si="1"/>
        <v>0</v>
      </c>
      <c r="Q54" s="66"/>
      <c r="R54" s="66"/>
      <c r="S54" s="66"/>
      <c r="T54" s="66"/>
      <c r="U54" s="69">
        <f t="shared" si="2"/>
        <v>0</v>
      </c>
      <c r="V54" s="66"/>
      <c r="W54" s="66"/>
      <c r="X54" s="66"/>
      <c r="Y54" s="66"/>
      <c r="Z54" s="66"/>
      <c r="AA54" s="66"/>
      <c r="AB54" s="70">
        <f t="shared" si="3"/>
        <v>0</v>
      </c>
      <c r="AC54" s="71">
        <f t="shared" si="4"/>
        <v>0</v>
      </c>
    </row>
    <row r="55" spans="1:29" ht="26.25">
      <c r="A55" s="79">
        <v>49</v>
      </c>
      <c r="B55" s="162" t="str">
        <f>DATA!A50</f>
        <v>Kệ 3 Tầng Mica</v>
      </c>
      <c r="C55" s="84" t="str">
        <f>DATA!B50</f>
        <v>cái</v>
      </c>
      <c r="D55" s="85">
        <f>DATA!C50</f>
        <v>99500</v>
      </c>
      <c r="E55" s="66"/>
      <c r="F55" s="66"/>
      <c r="G55" s="66"/>
      <c r="H55" s="66"/>
      <c r="I55" s="66"/>
      <c r="J55" s="66"/>
      <c r="K55" s="66"/>
      <c r="L55" s="67">
        <f t="shared" si="0"/>
        <v>0</v>
      </c>
      <c r="M55" s="66"/>
      <c r="N55" s="66"/>
      <c r="O55" s="66"/>
      <c r="P55" s="68">
        <f t="shared" si="1"/>
        <v>0</v>
      </c>
      <c r="Q55" s="66"/>
      <c r="R55" s="66"/>
      <c r="S55" s="66"/>
      <c r="T55" s="66"/>
      <c r="U55" s="69">
        <f t="shared" si="2"/>
        <v>0</v>
      </c>
      <c r="V55" s="66"/>
      <c r="W55" s="66"/>
      <c r="X55" s="66"/>
      <c r="Y55" s="66"/>
      <c r="Z55" s="66"/>
      <c r="AA55" s="66"/>
      <c r="AB55" s="70">
        <f t="shared" si="3"/>
        <v>0</v>
      </c>
      <c r="AC55" s="71">
        <f t="shared" si="4"/>
        <v>0</v>
      </c>
    </row>
    <row r="56" spans="1:29" ht="26.25">
      <c r="A56" s="81">
        <v>50</v>
      </c>
      <c r="B56" s="162" t="str">
        <f>DATA!A51</f>
        <v>Kệ 2 Tầng Mica</v>
      </c>
      <c r="C56" s="84" t="str">
        <f>DATA!B51</f>
        <v>cái</v>
      </c>
      <c r="D56" s="85">
        <f>DATA!C51</f>
        <v>72000</v>
      </c>
      <c r="E56" s="66"/>
      <c r="F56" s="66"/>
      <c r="G56" s="66"/>
      <c r="H56" s="66"/>
      <c r="I56" s="66"/>
      <c r="J56" s="66"/>
      <c r="K56" s="66"/>
      <c r="L56" s="67">
        <f t="shared" si="0"/>
        <v>0</v>
      </c>
      <c r="M56" s="66"/>
      <c r="N56" s="66"/>
      <c r="O56" s="66"/>
      <c r="P56" s="68">
        <f t="shared" si="1"/>
        <v>0</v>
      </c>
      <c r="Q56" s="66"/>
      <c r="R56" s="66"/>
      <c r="S56" s="66"/>
      <c r="T56" s="66"/>
      <c r="U56" s="69">
        <f t="shared" si="2"/>
        <v>0</v>
      </c>
      <c r="V56" s="66"/>
      <c r="W56" s="66"/>
      <c r="X56" s="66"/>
      <c r="Y56" s="66"/>
      <c r="Z56" s="66"/>
      <c r="AA56" s="66"/>
      <c r="AB56" s="70">
        <f t="shared" si="3"/>
        <v>0</v>
      </c>
      <c r="AC56" s="71">
        <f t="shared" si="4"/>
        <v>0</v>
      </c>
    </row>
    <row r="57" spans="1:29" ht="26.25">
      <c r="A57" s="79">
        <v>51</v>
      </c>
      <c r="B57" s="162" t="str">
        <f>DATA!A52</f>
        <v>Kim Bấm 10 Plus</v>
      </c>
      <c r="C57" s="84" t="str">
        <f>DATA!B52</f>
        <v>hộp</v>
      </c>
      <c r="D57" s="85">
        <f>DATA!C52</f>
        <v>2600</v>
      </c>
      <c r="E57" s="66">
        <v>40</v>
      </c>
      <c r="F57" s="66"/>
      <c r="G57" s="66">
        <v>40</v>
      </c>
      <c r="H57" s="66"/>
      <c r="I57" s="66"/>
      <c r="J57" s="66"/>
      <c r="K57" s="66"/>
      <c r="L57" s="67">
        <f t="shared" si="0"/>
        <v>80</v>
      </c>
      <c r="M57" s="66"/>
      <c r="N57" s="66"/>
      <c r="O57" s="66"/>
      <c r="P57" s="68">
        <f t="shared" si="1"/>
        <v>0</v>
      </c>
      <c r="Q57" s="66"/>
      <c r="R57" s="66"/>
      <c r="S57" s="66"/>
      <c r="T57" s="66"/>
      <c r="U57" s="69">
        <f t="shared" si="2"/>
        <v>0</v>
      </c>
      <c r="V57" s="66"/>
      <c r="W57" s="66"/>
      <c r="X57" s="66"/>
      <c r="Y57" s="66"/>
      <c r="Z57" s="66"/>
      <c r="AA57" s="66"/>
      <c r="AB57" s="70">
        <f t="shared" si="3"/>
        <v>0</v>
      </c>
      <c r="AC57" s="71">
        <f t="shared" si="4"/>
        <v>80</v>
      </c>
    </row>
    <row r="58" spans="1:29" ht="26.25">
      <c r="A58" s="81">
        <v>52</v>
      </c>
      <c r="B58" s="162" t="str">
        <f>DATA!A53</f>
        <v>Kim Bấm 03 Plus</v>
      </c>
      <c r="C58" s="84" t="str">
        <f>DATA!B53</f>
        <v>hộp</v>
      </c>
      <c r="D58" s="85">
        <f>DATA!C53</f>
        <v>8100</v>
      </c>
      <c r="E58" s="66"/>
      <c r="F58" s="66"/>
      <c r="G58" s="66"/>
      <c r="H58" s="66"/>
      <c r="I58" s="66"/>
      <c r="J58" s="66"/>
      <c r="K58" s="66"/>
      <c r="L58" s="67">
        <f t="shared" si="0"/>
        <v>0</v>
      </c>
      <c r="M58" s="66"/>
      <c r="N58" s="66"/>
      <c r="O58" s="66"/>
      <c r="P58" s="68">
        <f t="shared" si="1"/>
        <v>0</v>
      </c>
      <c r="Q58" s="66"/>
      <c r="R58" s="66"/>
      <c r="S58" s="66"/>
      <c r="T58" s="66"/>
      <c r="U58" s="69">
        <f t="shared" si="2"/>
        <v>0</v>
      </c>
      <c r="V58" s="66"/>
      <c r="W58" s="66"/>
      <c r="X58" s="66"/>
      <c r="Y58" s="66"/>
      <c r="Z58" s="66">
        <v>5</v>
      </c>
      <c r="AA58" s="66"/>
      <c r="AB58" s="70">
        <f t="shared" si="3"/>
        <v>5</v>
      </c>
      <c r="AC58" s="71">
        <f t="shared" si="4"/>
        <v>5</v>
      </c>
    </row>
    <row r="59" spans="1:29" ht="26.25">
      <c r="A59" s="79">
        <v>53</v>
      </c>
      <c r="B59" s="162" t="str">
        <f>DATA!A54</f>
        <v xml:space="preserve">Ly nhựa 390ml </v>
      </c>
      <c r="C59" s="84" t="str">
        <f>DATA!B54</f>
        <v>cái</v>
      </c>
      <c r="D59" s="85">
        <f>DATA!C54</f>
        <v>200</v>
      </c>
      <c r="E59" s="66"/>
      <c r="F59" s="66"/>
      <c r="G59" s="66"/>
      <c r="H59" s="66"/>
      <c r="I59" s="66"/>
      <c r="J59" s="66"/>
      <c r="K59" s="66"/>
      <c r="L59" s="67">
        <f t="shared" si="0"/>
        <v>0</v>
      </c>
      <c r="M59" s="66"/>
      <c r="N59" s="66"/>
      <c r="O59" s="66"/>
      <c r="P59" s="68">
        <f t="shared" si="1"/>
        <v>0</v>
      </c>
      <c r="Q59" s="66"/>
      <c r="R59" s="66"/>
      <c r="S59" s="66"/>
      <c r="T59" s="66"/>
      <c r="U59" s="69">
        <f t="shared" si="2"/>
        <v>0</v>
      </c>
      <c r="V59" s="66"/>
      <c r="W59" s="66"/>
      <c r="X59" s="66"/>
      <c r="Y59" s="66"/>
      <c r="Z59" s="66"/>
      <c r="AA59" s="66"/>
      <c r="AB59" s="70">
        <f t="shared" si="3"/>
        <v>0</v>
      </c>
      <c r="AC59" s="71">
        <f t="shared" si="4"/>
        <v>0</v>
      </c>
    </row>
    <row r="60" spans="1:29" ht="26.25">
      <c r="A60" s="81">
        <v>54</v>
      </c>
      <c r="B60" s="162" t="str">
        <f>DATA!A55</f>
        <v>Máy Tính Casio Js-120L/Jf-120</v>
      </c>
      <c r="C60" s="84" t="str">
        <f>DATA!B55</f>
        <v>cái</v>
      </c>
      <c r="D60" s="85">
        <f>DATA!C55</f>
        <v>75000</v>
      </c>
      <c r="E60" s="66"/>
      <c r="F60" s="66"/>
      <c r="G60" s="66"/>
      <c r="H60" s="66"/>
      <c r="I60" s="66"/>
      <c r="J60" s="66"/>
      <c r="K60" s="66"/>
      <c r="L60" s="67">
        <f t="shared" si="0"/>
        <v>0</v>
      </c>
      <c r="M60" s="66"/>
      <c r="N60" s="66"/>
      <c r="O60" s="66"/>
      <c r="P60" s="68">
        <f t="shared" si="1"/>
        <v>0</v>
      </c>
      <c r="Q60" s="66"/>
      <c r="R60" s="66"/>
      <c r="S60" s="66"/>
      <c r="T60" s="66"/>
      <c r="U60" s="69">
        <f t="shared" si="2"/>
        <v>0</v>
      </c>
      <c r="V60" s="66"/>
      <c r="W60" s="66"/>
      <c r="X60" s="66"/>
      <c r="Y60" s="66"/>
      <c r="Z60" s="66"/>
      <c r="AA60" s="66"/>
      <c r="AB60" s="70">
        <f t="shared" si="3"/>
        <v>0</v>
      </c>
      <c r="AC60" s="71">
        <f t="shared" si="4"/>
        <v>0</v>
      </c>
    </row>
    <row r="61" spans="1:29" ht="26.25">
      <c r="A61" s="79">
        <v>55</v>
      </c>
      <c r="B61" s="162" t="str">
        <f>DATA!A56</f>
        <v>Mực Viết Lông Dầu Artline (đen)</v>
      </c>
      <c r="C61" s="84" t="str">
        <f>DATA!B56</f>
        <v>hộp</v>
      </c>
      <c r="D61" s="85">
        <f>DATA!C56</f>
        <v>32000</v>
      </c>
      <c r="E61" s="66"/>
      <c r="F61" s="66"/>
      <c r="G61" s="66"/>
      <c r="H61" s="66"/>
      <c r="I61" s="66"/>
      <c r="J61" s="66"/>
      <c r="K61" s="66"/>
      <c r="L61" s="67">
        <f t="shared" si="0"/>
        <v>0</v>
      </c>
      <c r="M61" s="66"/>
      <c r="N61" s="66"/>
      <c r="O61" s="66"/>
      <c r="P61" s="68">
        <f t="shared" si="1"/>
        <v>0</v>
      </c>
      <c r="Q61" s="66"/>
      <c r="R61" s="66"/>
      <c r="S61" s="66"/>
      <c r="T61" s="66"/>
      <c r="U61" s="69">
        <f t="shared" si="2"/>
        <v>0</v>
      </c>
      <c r="V61" s="66"/>
      <c r="W61" s="66"/>
      <c r="X61" s="66"/>
      <c r="Y61" s="66"/>
      <c r="Z61" s="66"/>
      <c r="AA61" s="66"/>
      <c r="AB61" s="70">
        <f t="shared" si="3"/>
        <v>0</v>
      </c>
      <c r="AC61" s="71">
        <f t="shared" si="4"/>
        <v>0</v>
      </c>
    </row>
    <row r="62" spans="1:29" ht="26.25">
      <c r="A62" s="81">
        <v>56</v>
      </c>
      <c r="B62" s="162" t="str">
        <f>DATA!A57</f>
        <v>Mực Viết Lông Dầu Artline (đỏ)</v>
      </c>
      <c r="C62" s="84" t="str">
        <f>DATA!B57</f>
        <v>hộp</v>
      </c>
      <c r="D62" s="85">
        <f>DATA!C57</f>
        <v>32000</v>
      </c>
      <c r="E62" s="66"/>
      <c r="F62" s="66"/>
      <c r="G62" s="66"/>
      <c r="H62" s="66"/>
      <c r="I62" s="66">
        <v>3</v>
      </c>
      <c r="J62" s="66"/>
      <c r="K62" s="66"/>
      <c r="L62" s="67">
        <f t="shared" si="0"/>
        <v>3</v>
      </c>
      <c r="M62" s="66"/>
      <c r="N62" s="66"/>
      <c r="O62" s="66"/>
      <c r="P62" s="68">
        <f t="shared" si="1"/>
        <v>0</v>
      </c>
      <c r="Q62" s="66"/>
      <c r="R62" s="66"/>
      <c r="S62" s="66"/>
      <c r="T62" s="66"/>
      <c r="U62" s="69">
        <f t="shared" si="2"/>
        <v>0</v>
      </c>
      <c r="V62" s="66"/>
      <c r="W62" s="66"/>
      <c r="X62" s="66"/>
      <c r="Y62" s="66"/>
      <c r="Z62" s="66"/>
      <c r="AA62" s="66"/>
      <c r="AB62" s="70">
        <f t="shared" si="3"/>
        <v>0</v>
      </c>
      <c r="AC62" s="71">
        <f t="shared" si="4"/>
        <v>3</v>
      </c>
    </row>
    <row r="63" spans="1:29" ht="26.25">
      <c r="A63" s="79">
        <v>57</v>
      </c>
      <c r="B63" s="162" t="str">
        <f>DATA!A58</f>
        <v>Mực Shiny (đỏ)</v>
      </c>
      <c r="C63" s="84" t="str">
        <f>DATA!B58</f>
        <v>Lọ</v>
      </c>
      <c r="D63" s="85">
        <f>DATA!C58</f>
        <v>33000</v>
      </c>
      <c r="E63" s="66"/>
      <c r="F63" s="66"/>
      <c r="G63" s="66">
        <v>2</v>
      </c>
      <c r="H63" s="66"/>
      <c r="I63" s="66"/>
      <c r="J63" s="66"/>
      <c r="K63" s="66"/>
      <c r="L63" s="67">
        <f t="shared" si="0"/>
        <v>2</v>
      </c>
      <c r="M63" s="66"/>
      <c r="N63" s="66"/>
      <c r="O63" s="66"/>
      <c r="P63" s="68">
        <f t="shared" si="1"/>
        <v>0</v>
      </c>
      <c r="Q63" s="66"/>
      <c r="R63" s="66"/>
      <c r="S63" s="66"/>
      <c r="T63" s="66"/>
      <c r="U63" s="69">
        <f t="shared" si="2"/>
        <v>0</v>
      </c>
      <c r="V63" s="66"/>
      <c r="W63" s="66"/>
      <c r="X63" s="66"/>
      <c r="Y63" s="66"/>
      <c r="Z63" s="66"/>
      <c r="AA63" s="66"/>
      <c r="AB63" s="70">
        <f t="shared" si="3"/>
        <v>0</v>
      </c>
      <c r="AC63" s="71">
        <f t="shared" si="4"/>
        <v>2</v>
      </c>
    </row>
    <row r="64" spans="1:29" ht="26.25">
      <c r="A64" s="81">
        <v>58</v>
      </c>
      <c r="B64" s="162" t="str">
        <f>DATA!A59</f>
        <v>Mực viết lông bảng</v>
      </c>
      <c r="C64" s="84" t="str">
        <f>DATA!B59</f>
        <v>hộp</v>
      </c>
      <c r="D64" s="85">
        <f>DATA!C59</f>
        <v>14500</v>
      </c>
      <c r="E64" s="66"/>
      <c r="F64" s="66"/>
      <c r="G64" s="66"/>
      <c r="H64" s="66"/>
      <c r="I64" s="66"/>
      <c r="J64" s="66"/>
      <c r="K64" s="66"/>
      <c r="L64" s="67">
        <f t="shared" si="0"/>
        <v>0</v>
      </c>
      <c r="M64" s="66"/>
      <c r="N64" s="66"/>
      <c r="O64" s="66"/>
      <c r="P64" s="68">
        <f t="shared" si="1"/>
        <v>0</v>
      </c>
      <c r="Q64" s="66"/>
      <c r="R64" s="66"/>
      <c r="S64" s="66"/>
      <c r="T64" s="66"/>
      <c r="U64" s="69">
        <f t="shared" si="2"/>
        <v>0</v>
      </c>
      <c r="V64" s="66"/>
      <c r="W64" s="66"/>
      <c r="X64" s="66"/>
      <c r="Y64" s="66"/>
      <c r="Z64" s="66"/>
      <c r="AA64" s="66"/>
      <c r="AB64" s="70">
        <f t="shared" si="3"/>
        <v>0</v>
      </c>
      <c r="AC64" s="71">
        <f t="shared" si="4"/>
        <v>0</v>
      </c>
    </row>
    <row r="65" spans="1:29" ht="26.25">
      <c r="A65" s="79">
        <v>59</v>
      </c>
      <c r="B65" s="162" t="str">
        <f>DATA!A60</f>
        <v>Nhựa Ép Plastic A4 D9L 80</v>
      </c>
      <c r="C65" s="84" t="str">
        <f>DATA!B60</f>
        <v>hộp</v>
      </c>
      <c r="D65" s="85">
        <f>DATA!C60</f>
        <v>135000</v>
      </c>
      <c r="E65" s="66"/>
      <c r="F65" s="66"/>
      <c r="G65" s="66"/>
      <c r="H65" s="66"/>
      <c r="I65" s="66"/>
      <c r="J65" s="66"/>
      <c r="K65" s="66"/>
      <c r="L65" s="67">
        <f t="shared" si="0"/>
        <v>0</v>
      </c>
      <c r="M65" s="66"/>
      <c r="N65" s="66"/>
      <c r="O65" s="66"/>
      <c r="P65" s="68">
        <f t="shared" si="1"/>
        <v>0</v>
      </c>
      <c r="Q65" s="66"/>
      <c r="R65" s="66"/>
      <c r="S65" s="66"/>
      <c r="T65" s="66"/>
      <c r="U65" s="69">
        <f t="shared" si="2"/>
        <v>0</v>
      </c>
      <c r="V65" s="66"/>
      <c r="W65" s="66"/>
      <c r="X65" s="66"/>
      <c r="Y65" s="66"/>
      <c r="Z65" s="66"/>
      <c r="AA65" s="66"/>
      <c r="AB65" s="70">
        <f t="shared" si="3"/>
        <v>0</v>
      </c>
      <c r="AC65" s="71">
        <f t="shared" si="4"/>
        <v>0</v>
      </c>
    </row>
    <row r="66" spans="1:29" ht="26.25">
      <c r="A66" s="81">
        <v>60</v>
      </c>
      <c r="B66" s="162" t="str">
        <f>DATA!A61</f>
        <v>Nước rửa chén giặt khăn</v>
      </c>
      <c r="C66" s="84" t="str">
        <f>DATA!B61</f>
        <v>Chai</v>
      </c>
      <c r="D66" s="85">
        <f>DATA!C61</f>
        <v>22000</v>
      </c>
      <c r="E66" s="66"/>
      <c r="F66" s="66"/>
      <c r="G66" s="66"/>
      <c r="H66" s="66"/>
      <c r="I66" s="66"/>
      <c r="J66" s="66"/>
      <c r="K66" s="66"/>
      <c r="L66" s="67">
        <f t="shared" si="0"/>
        <v>0</v>
      </c>
      <c r="M66" s="66"/>
      <c r="N66" s="66"/>
      <c r="O66" s="66"/>
      <c r="P66" s="68">
        <f t="shared" si="1"/>
        <v>0</v>
      </c>
      <c r="Q66" s="66"/>
      <c r="R66" s="66"/>
      <c r="S66" s="66"/>
      <c r="T66" s="66"/>
      <c r="U66" s="69">
        <f t="shared" si="2"/>
        <v>0</v>
      </c>
      <c r="V66" s="66"/>
      <c r="W66" s="66"/>
      <c r="X66" s="66"/>
      <c r="Y66" s="66"/>
      <c r="Z66" s="66"/>
      <c r="AA66" s="66"/>
      <c r="AB66" s="70">
        <f t="shared" si="3"/>
        <v>0</v>
      </c>
      <c r="AC66" s="71">
        <f t="shared" si="4"/>
        <v>0</v>
      </c>
    </row>
    <row r="67" spans="1:29" ht="26.25">
      <c r="A67" s="79">
        <v>61</v>
      </c>
      <c r="B67" s="162" t="str">
        <f>DATA!A62</f>
        <v>Nước tẩy Sumo đa năng 700g</v>
      </c>
      <c r="C67" s="84" t="str">
        <f>DATA!B62</f>
        <v>chai</v>
      </c>
      <c r="D67" s="85">
        <f>DATA!C62</f>
        <v>23000</v>
      </c>
      <c r="E67" s="66"/>
      <c r="F67" s="66"/>
      <c r="G67" s="66"/>
      <c r="H67" s="66"/>
      <c r="I67" s="66"/>
      <c r="J67" s="66"/>
      <c r="K67" s="66"/>
      <c r="L67" s="67">
        <f t="shared" si="0"/>
        <v>0</v>
      </c>
      <c r="M67" s="66"/>
      <c r="N67" s="66"/>
      <c r="O67" s="66"/>
      <c r="P67" s="68">
        <f t="shared" si="1"/>
        <v>0</v>
      </c>
      <c r="Q67" s="66"/>
      <c r="R67" s="66"/>
      <c r="S67" s="66"/>
      <c r="T67" s="66"/>
      <c r="U67" s="69">
        <f t="shared" si="2"/>
        <v>0</v>
      </c>
      <c r="V67" s="66"/>
      <c r="W67" s="66"/>
      <c r="X67" s="66"/>
      <c r="Y67" s="66"/>
      <c r="Z67" s="66"/>
      <c r="AA67" s="66"/>
      <c r="AB67" s="70">
        <f t="shared" si="3"/>
        <v>0</v>
      </c>
      <c r="AC67" s="71">
        <f t="shared" si="4"/>
        <v>0</v>
      </c>
    </row>
    <row r="68" spans="1:29" ht="26.25">
      <c r="A68" s="81">
        <v>62</v>
      </c>
      <c r="B68" s="162" t="str">
        <f>DATA!A63</f>
        <v>Pin Con Ó 2A (thử đồ chơi)</v>
      </c>
      <c r="C68" s="84" t="str">
        <f>DATA!B63</f>
        <v>cục</v>
      </c>
      <c r="D68" s="85">
        <f>DATA!C63</f>
        <v>1250</v>
      </c>
      <c r="E68" s="66"/>
      <c r="F68" s="66"/>
      <c r="G68" s="66"/>
      <c r="H68" s="66"/>
      <c r="I68" s="66"/>
      <c r="J68" s="66"/>
      <c r="K68" s="66"/>
      <c r="L68" s="67">
        <f t="shared" si="0"/>
        <v>0</v>
      </c>
      <c r="M68" s="66"/>
      <c r="N68" s="66"/>
      <c r="O68" s="66"/>
      <c r="P68" s="68">
        <f t="shared" si="1"/>
        <v>0</v>
      </c>
      <c r="Q68" s="66"/>
      <c r="R68" s="66"/>
      <c r="S68" s="66"/>
      <c r="T68" s="66"/>
      <c r="U68" s="69">
        <f t="shared" si="2"/>
        <v>0</v>
      </c>
      <c r="V68" s="66"/>
      <c r="W68" s="66"/>
      <c r="X68" s="66"/>
      <c r="Y68" s="66"/>
      <c r="Z68" s="66"/>
      <c r="AA68" s="66"/>
      <c r="AB68" s="70">
        <f t="shared" si="3"/>
        <v>0</v>
      </c>
      <c r="AC68" s="71">
        <f t="shared" si="4"/>
        <v>0</v>
      </c>
    </row>
    <row r="69" spans="1:29" ht="26.25">
      <c r="A69" s="79">
        <v>63</v>
      </c>
      <c r="B69" s="162" t="str">
        <f>DATA!A64</f>
        <v>Ruột viết chì 0.5</v>
      </c>
      <c r="C69" s="84" t="str">
        <f>DATA!B64</f>
        <v>hộp</v>
      </c>
      <c r="D69" s="85">
        <f>DATA!C64</f>
        <v>6900</v>
      </c>
      <c r="E69" s="66"/>
      <c r="F69" s="66"/>
      <c r="G69" s="66"/>
      <c r="H69" s="66"/>
      <c r="I69" s="66"/>
      <c r="J69" s="66"/>
      <c r="K69" s="66"/>
      <c r="L69" s="67">
        <f t="shared" si="0"/>
        <v>0</v>
      </c>
      <c r="M69" s="66"/>
      <c r="N69" s="66"/>
      <c r="O69" s="66"/>
      <c r="P69" s="68">
        <f t="shared" si="1"/>
        <v>0</v>
      </c>
      <c r="Q69" s="66"/>
      <c r="R69" s="66"/>
      <c r="S69" s="66"/>
      <c r="T69" s="66"/>
      <c r="U69" s="69">
        <f t="shared" si="2"/>
        <v>0</v>
      </c>
      <c r="V69" s="66"/>
      <c r="W69" s="66"/>
      <c r="X69" s="66"/>
      <c r="Y69" s="66"/>
      <c r="Z69" s="66"/>
      <c r="AA69" s="66"/>
      <c r="AB69" s="70">
        <f t="shared" si="3"/>
        <v>0</v>
      </c>
      <c r="AC69" s="71">
        <f t="shared" si="4"/>
        <v>0</v>
      </c>
    </row>
    <row r="70" spans="1:29" ht="26.25">
      <c r="A70" s="81">
        <v>64</v>
      </c>
      <c r="B70" s="162" t="str">
        <f>DATA!A65</f>
        <v>Ruột viết chì 0.7</v>
      </c>
      <c r="C70" s="84" t="str">
        <f>DATA!B65</f>
        <v>hộp</v>
      </c>
      <c r="D70" s="85">
        <f>DATA!C65</f>
        <v>12500</v>
      </c>
      <c r="E70" s="66"/>
      <c r="F70" s="66"/>
      <c r="G70" s="66"/>
      <c r="H70" s="66"/>
      <c r="I70" s="66"/>
      <c r="J70" s="66"/>
      <c r="K70" s="66"/>
      <c r="L70" s="67">
        <f t="shared" si="0"/>
        <v>0</v>
      </c>
      <c r="M70" s="66"/>
      <c r="N70" s="66"/>
      <c r="O70" s="66"/>
      <c r="P70" s="68">
        <f t="shared" si="1"/>
        <v>0</v>
      </c>
      <c r="Q70" s="66"/>
      <c r="R70" s="66"/>
      <c r="S70" s="66"/>
      <c r="T70" s="66"/>
      <c r="U70" s="69">
        <f t="shared" si="2"/>
        <v>0</v>
      </c>
      <c r="V70" s="66"/>
      <c r="W70" s="66"/>
      <c r="X70" s="66"/>
      <c r="Y70" s="66"/>
      <c r="Z70" s="66"/>
      <c r="AA70" s="66"/>
      <c r="AB70" s="70">
        <f t="shared" si="3"/>
        <v>0</v>
      </c>
      <c r="AC70" s="71">
        <f t="shared" si="4"/>
        <v>0</v>
      </c>
    </row>
    <row r="71" spans="1:29" ht="26.25">
      <c r="A71" s="79">
        <v>65</v>
      </c>
      <c r="B71" s="162" t="str">
        <f>DATA!A66</f>
        <v>Sáp Đếm Tiền</v>
      </c>
      <c r="C71" s="84" t="str">
        <f>DATA!B66</f>
        <v>hộp</v>
      </c>
      <c r="D71" s="85">
        <f>DATA!C66</f>
        <v>4800</v>
      </c>
      <c r="E71" s="66">
        <v>2</v>
      </c>
      <c r="F71" s="66"/>
      <c r="G71" s="66"/>
      <c r="H71" s="66"/>
      <c r="I71" s="66"/>
      <c r="J71" s="66"/>
      <c r="K71" s="66"/>
      <c r="L71" s="67">
        <f t="shared" si="0"/>
        <v>2</v>
      </c>
      <c r="M71" s="66"/>
      <c r="N71" s="66"/>
      <c r="O71" s="66"/>
      <c r="P71" s="68">
        <f t="shared" si="1"/>
        <v>0</v>
      </c>
      <c r="Q71" s="66"/>
      <c r="R71" s="66"/>
      <c r="S71" s="66"/>
      <c r="T71" s="66"/>
      <c r="U71" s="69">
        <f t="shared" si="2"/>
        <v>0</v>
      </c>
      <c r="V71" s="66"/>
      <c r="W71" s="66"/>
      <c r="X71" s="66"/>
      <c r="Y71" s="66"/>
      <c r="Z71" s="66"/>
      <c r="AA71" s="66"/>
      <c r="AB71" s="70">
        <f t="shared" si="3"/>
        <v>0</v>
      </c>
      <c r="AC71" s="71">
        <f t="shared" si="4"/>
        <v>2</v>
      </c>
    </row>
    <row r="72" spans="1:29" ht="26.25">
      <c r="A72" s="81">
        <v>66</v>
      </c>
      <c r="B72" s="162" t="str">
        <f>DATA!A67</f>
        <v>Sổ Caro 25X35 Dày (cắt đầu)</v>
      </c>
      <c r="C72" s="84" t="str">
        <f>DATA!B67</f>
        <v>Cuốn</v>
      </c>
      <c r="D72" s="85">
        <f>DATA!C67</f>
        <v>26500</v>
      </c>
      <c r="E72" s="66"/>
      <c r="F72" s="66"/>
      <c r="G72" s="66"/>
      <c r="H72" s="66"/>
      <c r="I72" s="66"/>
      <c r="J72" s="66"/>
      <c r="K72" s="66"/>
      <c r="L72" s="67">
        <f t="shared" ref="L72:L99" si="5">SUM(E72:K72)</f>
        <v>0</v>
      </c>
      <c r="M72" s="66"/>
      <c r="N72" s="66"/>
      <c r="O72" s="66"/>
      <c r="P72" s="68">
        <f t="shared" ref="P72:P99" si="6">SUM(M72:O72)</f>
        <v>0</v>
      </c>
      <c r="Q72" s="66"/>
      <c r="R72" s="66"/>
      <c r="S72" s="66"/>
      <c r="T72" s="66"/>
      <c r="U72" s="69">
        <f t="shared" ref="U72:U99" si="7">SUM(Q72:T72)</f>
        <v>0</v>
      </c>
      <c r="V72" s="66"/>
      <c r="W72" s="66"/>
      <c r="X72" s="66"/>
      <c r="Y72" s="66"/>
      <c r="Z72" s="66"/>
      <c r="AA72" s="66"/>
      <c r="AB72" s="70">
        <f t="shared" ref="AB72:AB99" si="8">SUM(V72:AA72)</f>
        <v>0</v>
      </c>
      <c r="AC72" s="71">
        <f t="shared" ref="AC72:AC99" si="9">L72+P72+U72+AB72</f>
        <v>0</v>
      </c>
    </row>
    <row r="73" spans="1:29" ht="26.25">
      <c r="A73" s="79">
        <v>67</v>
      </c>
      <c r="B73" s="162" t="str">
        <f>DATA!A68</f>
        <v>Sổ Caro 30X40 Dày (cắt đầu)</v>
      </c>
      <c r="C73" s="84" t="str">
        <f>DATA!B68</f>
        <v>Cuốn</v>
      </c>
      <c r="D73" s="85">
        <f>DATA!C68</f>
        <v>38000</v>
      </c>
      <c r="E73" s="66"/>
      <c r="F73" s="66"/>
      <c r="G73" s="66">
        <v>2</v>
      </c>
      <c r="H73" s="66"/>
      <c r="I73" s="66"/>
      <c r="J73" s="66"/>
      <c r="K73" s="66"/>
      <c r="L73" s="67">
        <f t="shared" si="5"/>
        <v>2</v>
      </c>
      <c r="M73" s="66"/>
      <c r="N73" s="66"/>
      <c r="O73" s="66"/>
      <c r="P73" s="68">
        <f t="shared" si="6"/>
        <v>0</v>
      </c>
      <c r="Q73" s="66"/>
      <c r="R73" s="66"/>
      <c r="S73" s="66"/>
      <c r="T73" s="66"/>
      <c r="U73" s="69">
        <f t="shared" si="7"/>
        <v>0</v>
      </c>
      <c r="V73" s="66"/>
      <c r="W73" s="66"/>
      <c r="X73" s="66"/>
      <c r="Y73" s="66"/>
      <c r="Z73" s="66"/>
      <c r="AA73" s="66"/>
      <c r="AB73" s="70">
        <f t="shared" si="8"/>
        <v>0</v>
      </c>
      <c r="AC73" s="71">
        <f t="shared" si="9"/>
        <v>2</v>
      </c>
    </row>
    <row r="74" spans="1:29" ht="26.25">
      <c r="A74" s="81">
        <v>68</v>
      </c>
      <c r="B74" s="162" t="str">
        <f>DATA!A69</f>
        <v>Sổ ghi nhật ký (sổ trung cắt sẵn)</v>
      </c>
      <c r="C74" s="84" t="str">
        <f>DATA!B69</f>
        <v>Cuốn</v>
      </c>
      <c r="D74" s="85">
        <f>DATA!C69</f>
        <v>27500</v>
      </c>
      <c r="E74" s="66"/>
      <c r="F74" s="66"/>
      <c r="G74" s="66"/>
      <c r="H74" s="66"/>
      <c r="I74" s="66"/>
      <c r="J74" s="66"/>
      <c r="K74" s="66"/>
      <c r="L74" s="67">
        <f t="shared" si="5"/>
        <v>0</v>
      </c>
      <c r="M74" s="66"/>
      <c r="N74" s="66"/>
      <c r="O74" s="66"/>
      <c r="P74" s="68">
        <f t="shared" si="6"/>
        <v>0</v>
      </c>
      <c r="Q74" s="66"/>
      <c r="R74" s="66"/>
      <c r="S74" s="66"/>
      <c r="T74" s="66"/>
      <c r="U74" s="69">
        <f t="shared" si="7"/>
        <v>0</v>
      </c>
      <c r="V74" s="66"/>
      <c r="W74" s="66"/>
      <c r="X74" s="66"/>
      <c r="Y74" s="66"/>
      <c r="Z74" s="66"/>
      <c r="AA74" s="66"/>
      <c r="AB74" s="70">
        <f t="shared" si="8"/>
        <v>0</v>
      </c>
      <c r="AC74" s="71">
        <f t="shared" si="9"/>
        <v>0</v>
      </c>
    </row>
    <row r="75" spans="1:29" ht="26.25">
      <c r="A75" s="79">
        <v>69</v>
      </c>
      <c r="B75" s="162" t="str">
        <f>DATA!A70</f>
        <v xml:space="preserve">Tập 100 Trang </v>
      </c>
      <c r="C75" s="84" t="str">
        <f>DATA!B70</f>
        <v>cuốn</v>
      </c>
      <c r="D75" s="85">
        <f>DATA!C70</f>
        <v>2500</v>
      </c>
      <c r="E75" s="66"/>
      <c r="F75" s="66"/>
      <c r="G75" s="66"/>
      <c r="H75" s="66"/>
      <c r="I75" s="66"/>
      <c r="J75" s="66"/>
      <c r="K75" s="66"/>
      <c r="L75" s="67">
        <f t="shared" si="5"/>
        <v>0</v>
      </c>
      <c r="M75" s="66"/>
      <c r="N75" s="66"/>
      <c r="O75" s="66"/>
      <c r="P75" s="68">
        <f t="shared" si="6"/>
        <v>0</v>
      </c>
      <c r="Q75" s="66"/>
      <c r="R75" s="66"/>
      <c r="S75" s="66"/>
      <c r="T75" s="66"/>
      <c r="U75" s="69">
        <f t="shared" si="7"/>
        <v>0</v>
      </c>
      <c r="V75" s="66"/>
      <c r="W75" s="66"/>
      <c r="X75" s="66"/>
      <c r="Y75" s="66"/>
      <c r="Z75" s="66"/>
      <c r="AA75" s="66"/>
      <c r="AB75" s="70">
        <f t="shared" si="8"/>
        <v>0</v>
      </c>
      <c r="AC75" s="71">
        <f t="shared" si="9"/>
        <v>0</v>
      </c>
    </row>
    <row r="76" spans="1:29" ht="26.25">
      <c r="A76" s="81">
        <v>70</v>
      </c>
      <c r="B76" s="162" t="str">
        <f>DATA!A71</f>
        <v>Tập  200 trang</v>
      </c>
      <c r="C76" s="84" t="str">
        <f>DATA!B71</f>
        <v>cuốn</v>
      </c>
      <c r="D76" s="85">
        <f>DATA!C71</f>
        <v>8000</v>
      </c>
      <c r="E76" s="66"/>
      <c r="F76" s="66"/>
      <c r="G76" s="66"/>
      <c r="H76" s="66"/>
      <c r="I76" s="66"/>
      <c r="J76" s="66">
        <v>2</v>
      </c>
      <c r="K76" s="66"/>
      <c r="L76" s="67">
        <f t="shared" si="5"/>
        <v>2</v>
      </c>
      <c r="M76" s="66"/>
      <c r="N76" s="66"/>
      <c r="O76" s="66"/>
      <c r="P76" s="68">
        <f t="shared" si="6"/>
        <v>0</v>
      </c>
      <c r="Q76" s="66"/>
      <c r="R76" s="66"/>
      <c r="S76" s="66"/>
      <c r="T76" s="66"/>
      <c r="U76" s="69">
        <f t="shared" si="7"/>
        <v>0</v>
      </c>
      <c r="V76" s="66"/>
      <c r="W76" s="66"/>
      <c r="X76" s="66"/>
      <c r="Y76" s="66"/>
      <c r="Z76" s="66"/>
      <c r="AA76" s="66"/>
      <c r="AB76" s="70">
        <f t="shared" si="8"/>
        <v>0</v>
      </c>
      <c r="AC76" s="71">
        <f t="shared" si="9"/>
        <v>2</v>
      </c>
    </row>
    <row r="77" spans="1:29" ht="26.25">
      <c r="A77" s="79">
        <v>71</v>
      </c>
      <c r="B77" s="162" t="str">
        <f>DATA!A72</f>
        <v>Viết Lông Dầu Artline 700 (đỏ)</v>
      </c>
      <c r="C77" s="84" t="str">
        <f>DATA!B72</f>
        <v>cây</v>
      </c>
      <c r="D77" s="85">
        <f>DATA!C72</f>
        <v>22000</v>
      </c>
      <c r="E77" s="66"/>
      <c r="F77" s="66"/>
      <c r="G77" s="66"/>
      <c r="H77" s="66"/>
      <c r="I77" s="66"/>
      <c r="J77" s="66"/>
      <c r="K77" s="66"/>
      <c r="L77" s="67">
        <f t="shared" si="5"/>
        <v>0</v>
      </c>
      <c r="M77" s="66"/>
      <c r="N77" s="66"/>
      <c r="O77" s="66"/>
      <c r="P77" s="68">
        <f t="shared" si="6"/>
        <v>0</v>
      </c>
      <c r="Q77" s="66"/>
      <c r="R77" s="66"/>
      <c r="S77" s="66"/>
      <c r="T77" s="66"/>
      <c r="U77" s="69">
        <f t="shared" si="7"/>
        <v>0</v>
      </c>
      <c r="V77" s="66"/>
      <c r="W77" s="66"/>
      <c r="X77" s="66"/>
      <c r="Y77" s="66"/>
      <c r="Z77" s="66"/>
      <c r="AA77" s="66"/>
      <c r="AB77" s="70">
        <f t="shared" si="8"/>
        <v>0</v>
      </c>
      <c r="AC77" s="71">
        <f t="shared" si="9"/>
        <v>0</v>
      </c>
    </row>
    <row r="78" spans="1:29" ht="26.25">
      <c r="A78" s="81">
        <v>72</v>
      </c>
      <c r="B78" s="162" t="str">
        <f>DATA!A73</f>
        <v>Viết Lông Dầu Artline 700 (đen)</v>
      </c>
      <c r="C78" s="84" t="str">
        <f>DATA!B73</f>
        <v>cây</v>
      </c>
      <c r="D78" s="85">
        <f>DATA!C73</f>
        <v>22000</v>
      </c>
      <c r="E78" s="66"/>
      <c r="F78" s="66"/>
      <c r="G78" s="66"/>
      <c r="H78" s="66"/>
      <c r="I78" s="66">
        <v>3</v>
      </c>
      <c r="J78" s="66"/>
      <c r="K78" s="66"/>
      <c r="L78" s="67">
        <f t="shared" si="5"/>
        <v>3</v>
      </c>
      <c r="M78" s="66"/>
      <c r="N78" s="66"/>
      <c r="O78" s="66"/>
      <c r="P78" s="68">
        <f t="shared" si="6"/>
        <v>0</v>
      </c>
      <c r="Q78" s="66"/>
      <c r="R78" s="66"/>
      <c r="S78" s="66"/>
      <c r="T78" s="66"/>
      <c r="U78" s="69">
        <f t="shared" si="7"/>
        <v>0</v>
      </c>
      <c r="V78" s="66"/>
      <c r="W78" s="66"/>
      <c r="X78" s="66"/>
      <c r="Y78" s="66"/>
      <c r="Z78" s="66"/>
      <c r="AA78" s="66"/>
      <c r="AB78" s="70">
        <f t="shared" si="8"/>
        <v>0</v>
      </c>
      <c r="AC78" s="71">
        <f t="shared" si="9"/>
        <v>3</v>
      </c>
    </row>
    <row r="79" spans="1:29" ht="26.25">
      <c r="A79" s="79">
        <v>73</v>
      </c>
      <c r="B79" s="162" t="str">
        <f>DATA!A74</f>
        <v>Viết Lông Dầu Artline 725 (đen)</v>
      </c>
      <c r="C79" s="84" t="str">
        <f>DATA!B74</f>
        <v>cây</v>
      </c>
      <c r="D79" s="85">
        <f>DATA!C74</f>
        <v>21000</v>
      </c>
      <c r="E79" s="66"/>
      <c r="F79" s="66"/>
      <c r="G79" s="66"/>
      <c r="H79" s="66"/>
      <c r="I79" s="66"/>
      <c r="J79" s="66"/>
      <c r="K79" s="66"/>
      <c r="L79" s="67">
        <f t="shared" si="5"/>
        <v>0</v>
      </c>
      <c r="M79" s="66"/>
      <c r="N79" s="66"/>
      <c r="O79" s="66"/>
      <c r="P79" s="68">
        <f t="shared" si="6"/>
        <v>0</v>
      </c>
      <c r="Q79" s="66"/>
      <c r="R79" s="66"/>
      <c r="S79" s="66"/>
      <c r="T79" s="66"/>
      <c r="U79" s="69">
        <f t="shared" si="7"/>
        <v>0</v>
      </c>
      <c r="V79" s="66"/>
      <c r="W79" s="66"/>
      <c r="X79" s="66"/>
      <c r="Y79" s="66"/>
      <c r="Z79" s="66"/>
      <c r="AA79" s="66"/>
      <c r="AB79" s="70">
        <f t="shared" si="8"/>
        <v>0</v>
      </c>
      <c r="AC79" s="71">
        <f t="shared" si="9"/>
        <v>0</v>
      </c>
    </row>
    <row r="80" spans="1:29" ht="26.25">
      <c r="A80" s="81">
        <v>74</v>
      </c>
      <c r="B80" s="162" t="str">
        <f>DATA!A75</f>
        <v>Viết Lông Dầu Artline 725 (đỏ)</v>
      </c>
      <c r="C80" s="84" t="str">
        <f>DATA!B75</f>
        <v>cây</v>
      </c>
      <c r="D80" s="85">
        <f>DATA!C75</f>
        <v>21000</v>
      </c>
      <c r="E80" s="66"/>
      <c r="F80" s="66"/>
      <c r="G80" s="66"/>
      <c r="H80" s="66"/>
      <c r="I80" s="66"/>
      <c r="J80" s="66"/>
      <c r="K80" s="66"/>
      <c r="L80" s="67">
        <f t="shared" si="5"/>
        <v>0</v>
      </c>
      <c r="M80" s="66"/>
      <c r="N80" s="66"/>
      <c r="O80" s="66"/>
      <c r="P80" s="68">
        <f t="shared" si="6"/>
        <v>0</v>
      </c>
      <c r="Q80" s="66"/>
      <c r="R80" s="66"/>
      <c r="S80" s="66"/>
      <c r="T80" s="66"/>
      <c r="U80" s="69">
        <f t="shared" si="7"/>
        <v>0</v>
      </c>
      <c r="V80" s="66"/>
      <c r="W80" s="66"/>
      <c r="X80" s="66"/>
      <c r="Y80" s="66"/>
      <c r="Z80" s="66"/>
      <c r="AA80" s="66"/>
      <c r="AB80" s="70">
        <f t="shared" si="8"/>
        <v>0</v>
      </c>
      <c r="AC80" s="71">
        <f t="shared" si="9"/>
        <v>0</v>
      </c>
    </row>
    <row r="81" spans="1:29" ht="26.25">
      <c r="A81" s="79">
        <v>75</v>
      </c>
      <c r="B81" s="162" t="str">
        <f>DATA!A76</f>
        <v>Viết Lông Dầu Artline 90 (đen)</v>
      </c>
      <c r="C81" s="84" t="str">
        <f>DATA!B76</f>
        <v>cây</v>
      </c>
      <c r="D81" s="85">
        <f>DATA!C76</f>
        <v>18500</v>
      </c>
      <c r="E81" s="66"/>
      <c r="F81" s="66"/>
      <c r="G81" s="66"/>
      <c r="H81" s="66"/>
      <c r="I81" s="66"/>
      <c r="J81" s="66"/>
      <c r="K81" s="66"/>
      <c r="L81" s="67">
        <f t="shared" si="5"/>
        <v>0</v>
      </c>
      <c r="M81" s="66"/>
      <c r="N81" s="66"/>
      <c r="O81" s="66"/>
      <c r="P81" s="68">
        <f t="shared" si="6"/>
        <v>0</v>
      </c>
      <c r="Q81" s="66"/>
      <c r="R81" s="66"/>
      <c r="S81" s="66"/>
      <c r="T81" s="66"/>
      <c r="U81" s="69">
        <f t="shared" si="7"/>
        <v>0</v>
      </c>
      <c r="V81" s="66"/>
      <c r="W81" s="66"/>
      <c r="X81" s="66"/>
      <c r="Y81" s="66"/>
      <c r="Z81" s="66"/>
      <c r="AA81" s="66"/>
      <c r="AB81" s="70">
        <f t="shared" si="8"/>
        <v>0</v>
      </c>
      <c r="AC81" s="71">
        <f t="shared" si="9"/>
        <v>0</v>
      </c>
    </row>
    <row r="82" spans="1:29" ht="26.25">
      <c r="A82" s="81">
        <v>76</v>
      </c>
      <c r="B82" s="162" t="str">
        <f>DATA!A77</f>
        <v>Viết Lông Dầu Artline 90 (đỏ)</v>
      </c>
      <c r="C82" s="84" t="str">
        <f>DATA!B77</f>
        <v>cây</v>
      </c>
      <c r="D82" s="85">
        <f>DATA!C77</f>
        <v>18500</v>
      </c>
      <c r="E82" s="66"/>
      <c r="F82" s="66"/>
      <c r="G82" s="66"/>
      <c r="H82" s="66"/>
      <c r="I82" s="66"/>
      <c r="J82" s="66"/>
      <c r="K82" s="66"/>
      <c r="L82" s="67">
        <f t="shared" si="5"/>
        <v>0</v>
      </c>
      <c r="M82" s="66"/>
      <c r="N82" s="66"/>
      <c r="O82" s="66"/>
      <c r="P82" s="68">
        <f t="shared" si="6"/>
        <v>0</v>
      </c>
      <c r="Q82" s="66"/>
      <c r="R82" s="66"/>
      <c r="S82" s="66"/>
      <c r="T82" s="66"/>
      <c r="U82" s="69">
        <f t="shared" si="7"/>
        <v>0</v>
      </c>
      <c r="V82" s="66"/>
      <c r="W82" s="66"/>
      <c r="X82" s="66"/>
      <c r="Y82" s="66"/>
      <c r="Z82" s="66"/>
      <c r="AA82" s="66"/>
      <c r="AB82" s="70">
        <f t="shared" si="8"/>
        <v>0</v>
      </c>
      <c r="AC82" s="71">
        <f t="shared" si="9"/>
        <v>0</v>
      </c>
    </row>
    <row r="83" spans="1:29" ht="26.25">
      <c r="A83" s="79">
        <v>77</v>
      </c>
      <c r="B83" s="162" t="str">
        <f>DATA!A78</f>
        <v>Viết Bic Thiên Long 027 (đỏ)</v>
      </c>
      <c r="C83" s="84" t="str">
        <f>DATA!B78</f>
        <v>cây</v>
      </c>
      <c r="D83" s="85">
        <f>DATA!C78</f>
        <v>1900</v>
      </c>
      <c r="E83" s="66"/>
      <c r="F83" s="66"/>
      <c r="G83" s="66"/>
      <c r="H83" s="66"/>
      <c r="I83" s="66"/>
      <c r="J83" s="66"/>
      <c r="K83" s="66"/>
      <c r="L83" s="67">
        <f t="shared" si="5"/>
        <v>0</v>
      </c>
      <c r="M83" s="66"/>
      <c r="N83" s="66"/>
      <c r="O83" s="66"/>
      <c r="P83" s="68">
        <f t="shared" si="6"/>
        <v>0</v>
      </c>
      <c r="Q83" s="66"/>
      <c r="R83" s="66"/>
      <c r="S83" s="66"/>
      <c r="T83" s="66"/>
      <c r="U83" s="69">
        <f t="shared" si="7"/>
        <v>0</v>
      </c>
      <c r="V83" s="66"/>
      <c r="W83" s="66"/>
      <c r="X83" s="66"/>
      <c r="Y83" s="66"/>
      <c r="Z83" s="66"/>
      <c r="AA83" s="66"/>
      <c r="AB83" s="70">
        <f t="shared" si="8"/>
        <v>0</v>
      </c>
      <c r="AC83" s="71">
        <f t="shared" si="9"/>
        <v>0</v>
      </c>
    </row>
    <row r="84" spans="1:29" ht="26.25">
      <c r="A84" s="81">
        <v>78</v>
      </c>
      <c r="B84" s="162" t="str">
        <f>DATA!A79</f>
        <v>Viết Bic Thiên Long 027 (xanh)</v>
      </c>
      <c r="C84" s="84" t="str">
        <f>DATA!B79</f>
        <v>cây</v>
      </c>
      <c r="D84" s="85">
        <f>DATA!C79</f>
        <v>1900</v>
      </c>
      <c r="E84" s="66"/>
      <c r="F84" s="66"/>
      <c r="G84" s="66"/>
      <c r="H84" s="66"/>
      <c r="I84" s="66"/>
      <c r="J84" s="66"/>
      <c r="K84" s="66"/>
      <c r="L84" s="67">
        <f t="shared" si="5"/>
        <v>0</v>
      </c>
      <c r="M84" s="66"/>
      <c r="N84" s="66"/>
      <c r="O84" s="66"/>
      <c r="P84" s="68">
        <f t="shared" si="6"/>
        <v>0</v>
      </c>
      <c r="Q84" s="66"/>
      <c r="R84" s="66"/>
      <c r="S84" s="66"/>
      <c r="T84" s="66"/>
      <c r="U84" s="69">
        <f t="shared" si="7"/>
        <v>0</v>
      </c>
      <c r="V84" s="66"/>
      <c r="W84" s="66"/>
      <c r="X84" s="66"/>
      <c r="Y84" s="66"/>
      <c r="Z84" s="66"/>
      <c r="AA84" s="66"/>
      <c r="AB84" s="70">
        <f t="shared" si="8"/>
        <v>0</v>
      </c>
      <c r="AC84" s="71">
        <f t="shared" si="9"/>
        <v>0</v>
      </c>
    </row>
    <row r="85" spans="1:29" ht="26.25">
      <c r="A85" s="79">
        <v>79</v>
      </c>
      <c r="B85" s="162" t="str">
        <f>DATA!A80</f>
        <v>Viết Chì 2B Thiên Long</v>
      </c>
      <c r="C85" s="84" t="str">
        <f>DATA!B80</f>
        <v>cây</v>
      </c>
      <c r="D85" s="85">
        <f>DATA!C80</f>
        <v>3400</v>
      </c>
      <c r="E85" s="66"/>
      <c r="F85" s="66"/>
      <c r="G85" s="66"/>
      <c r="H85" s="66"/>
      <c r="I85" s="66"/>
      <c r="J85" s="66"/>
      <c r="K85" s="66"/>
      <c r="L85" s="67">
        <f t="shared" si="5"/>
        <v>0</v>
      </c>
      <c r="M85" s="118"/>
      <c r="N85" s="118"/>
      <c r="O85" s="118"/>
      <c r="P85" s="68">
        <f t="shared" si="6"/>
        <v>0</v>
      </c>
      <c r="Q85" s="118"/>
      <c r="R85" s="118"/>
      <c r="S85" s="118"/>
      <c r="T85" s="118"/>
      <c r="U85" s="69">
        <f t="shared" si="7"/>
        <v>0</v>
      </c>
      <c r="V85" s="66"/>
      <c r="W85" s="66"/>
      <c r="X85" s="66"/>
      <c r="Y85" s="66"/>
      <c r="Z85" s="66"/>
      <c r="AA85" s="66"/>
      <c r="AB85" s="70">
        <f t="shared" si="8"/>
        <v>0</v>
      </c>
      <c r="AC85" s="71">
        <f t="shared" si="9"/>
        <v>0</v>
      </c>
    </row>
    <row r="86" spans="1:29" ht="26.25">
      <c r="A86" s="81">
        <v>80</v>
      </c>
      <c r="B86" s="162" t="str">
        <f>DATA!A81</f>
        <v>Viết Chì Kim 0.5</v>
      </c>
      <c r="C86" s="84" t="str">
        <f>DATA!B81</f>
        <v>cây</v>
      </c>
      <c r="D86" s="85">
        <f>DATA!C81</f>
        <v>18500</v>
      </c>
      <c r="E86" s="66"/>
      <c r="F86" s="66"/>
      <c r="G86" s="66"/>
      <c r="H86" s="66"/>
      <c r="I86" s="66"/>
      <c r="J86" s="66"/>
      <c r="K86" s="66"/>
      <c r="L86" s="67">
        <f t="shared" si="5"/>
        <v>0</v>
      </c>
      <c r="M86" s="118"/>
      <c r="N86" s="118"/>
      <c r="O86" s="118"/>
      <c r="P86" s="68">
        <f t="shared" si="6"/>
        <v>0</v>
      </c>
      <c r="Q86" s="118"/>
      <c r="R86" s="118"/>
      <c r="S86" s="118"/>
      <c r="T86" s="118"/>
      <c r="U86" s="69">
        <f t="shared" si="7"/>
        <v>0</v>
      </c>
      <c r="V86" s="66"/>
      <c r="W86" s="66"/>
      <c r="X86" s="66"/>
      <c r="Y86" s="66"/>
      <c r="Z86" s="66"/>
      <c r="AA86" s="66"/>
      <c r="AB86" s="70">
        <f t="shared" si="8"/>
        <v>0</v>
      </c>
      <c r="AC86" s="71">
        <f t="shared" si="9"/>
        <v>0</v>
      </c>
    </row>
    <row r="87" spans="1:29" ht="26.25">
      <c r="A87" s="79">
        <v>81</v>
      </c>
      <c r="B87" s="162" t="str">
        <f>DATA!A82</f>
        <v>Viết Chì Kim 0.7</v>
      </c>
      <c r="C87" s="84" t="str">
        <f>DATA!B82</f>
        <v>cây</v>
      </c>
      <c r="D87" s="85">
        <f>DATA!C82</f>
        <v>18500</v>
      </c>
      <c r="E87" s="66"/>
      <c r="F87" s="66"/>
      <c r="G87" s="66"/>
      <c r="H87" s="66"/>
      <c r="I87" s="66"/>
      <c r="J87" s="66"/>
      <c r="K87" s="66"/>
      <c r="L87" s="67">
        <f t="shared" si="5"/>
        <v>0</v>
      </c>
      <c r="M87" s="118"/>
      <c r="N87" s="118"/>
      <c r="O87" s="118"/>
      <c r="P87" s="68">
        <f t="shared" si="6"/>
        <v>0</v>
      </c>
      <c r="Q87" s="118"/>
      <c r="R87" s="118"/>
      <c r="S87" s="118"/>
      <c r="T87" s="118"/>
      <c r="U87" s="69">
        <f t="shared" si="7"/>
        <v>0</v>
      </c>
      <c r="V87" s="118"/>
      <c r="W87" s="118"/>
      <c r="X87" s="118"/>
      <c r="Y87" s="118"/>
      <c r="Z87" s="118"/>
      <c r="AA87" s="118"/>
      <c r="AB87" s="70">
        <f t="shared" si="8"/>
        <v>0</v>
      </c>
      <c r="AC87" s="71">
        <f t="shared" si="9"/>
        <v>0</v>
      </c>
    </row>
    <row r="88" spans="1:29" ht="26.25">
      <c r="A88" s="81">
        <v>82</v>
      </c>
      <c r="B88" s="162" t="str">
        <f>DATA!A83</f>
        <v>Viết dạ quang hồng</v>
      </c>
      <c r="C88" s="84" t="str">
        <f>DATA!B83</f>
        <v>Cây</v>
      </c>
      <c r="D88" s="85">
        <f>DATA!C83</f>
        <v>5000</v>
      </c>
      <c r="E88" s="66"/>
      <c r="F88" s="66"/>
      <c r="G88" s="66"/>
      <c r="H88" s="66"/>
      <c r="I88" s="66"/>
      <c r="J88" s="66"/>
      <c r="K88" s="66"/>
      <c r="L88" s="67">
        <f t="shared" si="5"/>
        <v>0</v>
      </c>
      <c r="M88" s="118"/>
      <c r="N88" s="118"/>
      <c r="O88" s="118"/>
      <c r="P88" s="68">
        <f t="shared" si="6"/>
        <v>0</v>
      </c>
      <c r="Q88" s="118"/>
      <c r="R88" s="118"/>
      <c r="S88" s="118"/>
      <c r="T88" s="118"/>
      <c r="U88" s="69">
        <f t="shared" si="7"/>
        <v>0</v>
      </c>
      <c r="V88" s="118"/>
      <c r="W88" s="118"/>
      <c r="X88" s="118"/>
      <c r="Y88" s="118"/>
      <c r="Z88" s="118"/>
      <c r="AA88" s="118"/>
      <c r="AB88" s="70">
        <f t="shared" si="8"/>
        <v>0</v>
      </c>
      <c r="AC88" s="71">
        <f t="shared" si="9"/>
        <v>0</v>
      </c>
    </row>
    <row r="89" spans="1:29" ht="26.25">
      <c r="A89" s="79">
        <v>83</v>
      </c>
      <c r="B89" s="162" t="str">
        <f>DATA!A84</f>
        <v>Viết dạ quang vàng</v>
      </c>
      <c r="C89" s="84" t="str">
        <f>DATA!B84</f>
        <v>Cây</v>
      </c>
      <c r="D89" s="85">
        <f>DATA!C84</f>
        <v>5000</v>
      </c>
      <c r="E89" s="66"/>
      <c r="F89" s="66"/>
      <c r="G89" s="66"/>
      <c r="H89" s="66"/>
      <c r="I89" s="66"/>
      <c r="J89" s="66"/>
      <c r="K89" s="66"/>
      <c r="L89" s="67">
        <f t="shared" si="5"/>
        <v>0</v>
      </c>
      <c r="M89" s="118"/>
      <c r="N89" s="118"/>
      <c r="O89" s="118"/>
      <c r="P89" s="68">
        <f t="shared" si="6"/>
        <v>0</v>
      </c>
      <c r="Q89" s="118"/>
      <c r="R89" s="118"/>
      <c r="S89" s="118"/>
      <c r="T89" s="118"/>
      <c r="U89" s="69">
        <f t="shared" si="7"/>
        <v>0</v>
      </c>
      <c r="V89" s="118"/>
      <c r="W89" s="118"/>
      <c r="X89" s="118"/>
      <c r="Y89" s="118"/>
      <c r="Z89" s="118"/>
      <c r="AA89" s="118"/>
      <c r="AB89" s="70">
        <f t="shared" si="8"/>
        <v>0</v>
      </c>
      <c r="AC89" s="71">
        <f t="shared" si="9"/>
        <v>0</v>
      </c>
    </row>
    <row r="90" spans="1:29" ht="26.25">
      <c r="A90" s="81">
        <v>84</v>
      </c>
      <c r="B90" s="162" t="str">
        <f>DATA!A85</f>
        <v>Viết dây để bàn đôi Bến nghé</v>
      </c>
      <c r="C90" s="84" t="str">
        <f>DATA!B85</f>
        <v>bộ</v>
      </c>
      <c r="D90" s="85">
        <f>DATA!C85</f>
        <v>11000</v>
      </c>
      <c r="E90" s="66"/>
      <c r="F90" s="66"/>
      <c r="G90" s="66"/>
      <c r="H90" s="66"/>
      <c r="I90" s="66"/>
      <c r="J90" s="66"/>
      <c r="K90" s="66"/>
      <c r="L90" s="67">
        <f t="shared" si="5"/>
        <v>0</v>
      </c>
      <c r="M90" s="118"/>
      <c r="N90" s="118"/>
      <c r="O90" s="118"/>
      <c r="P90" s="68">
        <f t="shared" si="6"/>
        <v>0</v>
      </c>
      <c r="Q90" s="118"/>
      <c r="R90" s="118"/>
      <c r="S90" s="118"/>
      <c r="T90" s="118"/>
      <c r="U90" s="69">
        <f t="shared" si="7"/>
        <v>0</v>
      </c>
      <c r="V90" s="118"/>
      <c r="W90" s="118"/>
      <c r="X90" s="118"/>
      <c r="Y90" s="118"/>
      <c r="Z90" s="118"/>
      <c r="AA90" s="118"/>
      <c r="AB90" s="70">
        <f t="shared" si="8"/>
        <v>0</v>
      </c>
      <c r="AC90" s="71">
        <f t="shared" si="9"/>
        <v>0</v>
      </c>
    </row>
    <row r="91" spans="1:29" ht="26.25">
      <c r="A91" s="79">
        <v>85</v>
      </c>
      <c r="B91" s="162" t="str">
        <f>DATA!A86</f>
        <v>Viết dây để bàn đơn Bến nghé</v>
      </c>
      <c r="C91" s="84" t="str">
        <f>DATA!B86</f>
        <v>hộp</v>
      </c>
      <c r="D91" s="85">
        <f>DATA!C86</f>
        <v>7000</v>
      </c>
      <c r="E91" s="66"/>
      <c r="F91" s="66"/>
      <c r="G91" s="66"/>
      <c r="H91" s="66"/>
      <c r="I91" s="66"/>
      <c r="J91" s="66"/>
      <c r="K91" s="66"/>
      <c r="L91" s="67">
        <f t="shared" si="5"/>
        <v>0</v>
      </c>
      <c r="M91" s="118"/>
      <c r="N91" s="118"/>
      <c r="O91" s="118"/>
      <c r="P91" s="68">
        <f t="shared" si="6"/>
        <v>0</v>
      </c>
      <c r="Q91" s="118"/>
      <c r="R91" s="118"/>
      <c r="S91" s="118"/>
      <c r="T91" s="118"/>
      <c r="U91" s="69">
        <f t="shared" si="7"/>
        <v>0</v>
      </c>
      <c r="V91" s="118"/>
      <c r="W91" s="118"/>
      <c r="X91" s="118"/>
      <c r="Y91" s="118"/>
      <c r="Z91" s="118"/>
      <c r="AA91" s="118"/>
      <c r="AB91" s="70">
        <f t="shared" si="8"/>
        <v>0</v>
      </c>
      <c r="AC91" s="71">
        <f t="shared" si="9"/>
        <v>0</v>
      </c>
    </row>
    <row r="92" spans="1:29" ht="26.25">
      <c r="A92" s="81">
        <v>86</v>
      </c>
      <c r="B92" s="162" t="str">
        <f>DATA!A87</f>
        <v>Viết dây để bàn đơn Bến nghé</v>
      </c>
      <c r="C92" s="84" t="str">
        <f>DATA!B87</f>
        <v>hộp</v>
      </c>
      <c r="D92" s="85">
        <f>DATA!C87</f>
        <v>9500</v>
      </c>
      <c r="E92" s="66"/>
      <c r="F92" s="66"/>
      <c r="G92" s="66"/>
      <c r="H92" s="66"/>
      <c r="I92" s="66"/>
      <c r="J92" s="66"/>
      <c r="K92" s="66"/>
      <c r="L92" s="67">
        <f t="shared" si="5"/>
        <v>0</v>
      </c>
      <c r="M92" s="118"/>
      <c r="N92" s="118"/>
      <c r="O92" s="118"/>
      <c r="P92" s="68">
        <f t="shared" si="6"/>
        <v>0</v>
      </c>
      <c r="Q92" s="118"/>
      <c r="R92" s="118"/>
      <c r="S92" s="118"/>
      <c r="T92" s="118"/>
      <c r="U92" s="69">
        <f t="shared" si="7"/>
        <v>0</v>
      </c>
      <c r="V92" s="118"/>
      <c r="W92" s="118"/>
      <c r="X92" s="118"/>
      <c r="Y92" s="118"/>
      <c r="Z92" s="118"/>
      <c r="AA92" s="118"/>
      <c r="AB92" s="70">
        <f t="shared" si="8"/>
        <v>0</v>
      </c>
      <c r="AC92" s="71">
        <f t="shared" si="9"/>
        <v>0</v>
      </c>
    </row>
    <row r="93" spans="1:29" ht="26.25">
      <c r="A93" s="79">
        <v>87</v>
      </c>
      <c r="B93" s="162" t="str">
        <f>DATA!A88</f>
        <v>Viết dây để bàn đơn Bến nghé</v>
      </c>
      <c r="C93" s="84" t="str">
        <f>DATA!B88</f>
        <v>hộp</v>
      </c>
      <c r="D93" s="85">
        <f>DATA!C88</f>
        <v>9500</v>
      </c>
      <c r="E93" s="66"/>
      <c r="F93" s="66"/>
      <c r="G93" s="66"/>
      <c r="H93" s="66"/>
      <c r="I93" s="66"/>
      <c r="J93" s="66"/>
      <c r="K93" s="66"/>
      <c r="L93" s="67">
        <f t="shared" si="5"/>
        <v>0</v>
      </c>
      <c r="M93" s="118"/>
      <c r="N93" s="118"/>
      <c r="O93" s="118"/>
      <c r="P93" s="68">
        <f t="shared" si="6"/>
        <v>0</v>
      </c>
      <c r="Q93" s="118"/>
      <c r="R93" s="118"/>
      <c r="S93" s="118"/>
      <c r="T93" s="118"/>
      <c r="U93" s="69">
        <f t="shared" si="7"/>
        <v>0</v>
      </c>
      <c r="V93" s="118"/>
      <c r="W93" s="118"/>
      <c r="X93" s="118"/>
      <c r="Y93" s="118"/>
      <c r="Z93" s="118"/>
      <c r="AA93" s="118"/>
      <c r="AB93" s="70">
        <f t="shared" si="8"/>
        <v>0</v>
      </c>
      <c r="AC93" s="71">
        <f t="shared" si="9"/>
        <v>0</v>
      </c>
    </row>
    <row r="94" spans="1:29" ht="26.25">
      <c r="A94" s="51">
        <v>88</v>
      </c>
      <c r="B94" s="162" t="str">
        <f>DATA!A89</f>
        <v>Viết để bàn Thiên Long</v>
      </c>
      <c r="C94" s="84" t="str">
        <f>DATA!B89</f>
        <v>cây</v>
      </c>
      <c r="D94" s="85">
        <f>DATA!C89</f>
        <v>9500</v>
      </c>
      <c r="E94" s="66"/>
      <c r="F94" s="66"/>
      <c r="G94" s="66"/>
      <c r="H94" s="66"/>
      <c r="I94" s="66"/>
      <c r="J94" s="66"/>
      <c r="K94" s="66"/>
      <c r="L94" s="67">
        <f t="shared" si="5"/>
        <v>0</v>
      </c>
      <c r="M94" s="118"/>
      <c r="N94" s="118"/>
      <c r="O94" s="118"/>
      <c r="P94" s="68">
        <f t="shared" si="6"/>
        <v>0</v>
      </c>
      <c r="Q94" s="118"/>
      <c r="R94" s="118"/>
      <c r="S94" s="118"/>
      <c r="T94" s="118"/>
      <c r="U94" s="69">
        <f t="shared" si="7"/>
        <v>0</v>
      </c>
      <c r="V94" s="118"/>
      <c r="W94" s="118"/>
      <c r="X94" s="118"/>
      <c r="Y94" s="118"/>
      <c r="Z94" s="118"/>
      <c r="AA94" s="118"/>
      <c r="AB94" s="70">
        <f t="shared" si="8"/>
        <v>0</v>
      </c>
      <c r="AC94" s="71">
        <f t="shared" si="9"/>
        <v>0</v>
      </c>
    </row>
    <row r="95" spans="1:29" ht="26.25">
      <c r="A95" s="79">
        <v>89</v>
      </c>
      <c r="B95" s="162" t="str">
        <f>DATA!A90</f>
        <v>Viết lông bảng Maker đỏ</v>
      </c>
      <c r="C95" s="84" t="str">
        <f>DATA!B90</f>
        <v>Cây</v>
      </c>
      <c r="D95" s="85">
        <f>DATA!C90</f>
        <v>5400</v>
      </c>
      <c r="E95" s="66"/>
      <c r="F95" s="66"/>
      <c r="G95" s="66"/>
      <c r="H95" s="66"/>
      <c r="I95" s="66"/>
      <c r="J95" s="66"/>
      <c r="K95" s="66"/>
      <c r="L95" s="67">
        <f t="shared" si="5"/>
        <v>0</v>
      </c>
      <c r="M95" s="118"/>
      <c r="N95" s="118"/>
      <c r="O95" s="118"/>
      <c r="P95" s="68">
        <f t="shared" si="6"/>
        <v>0</v>
      </c>
      <c r="Q95" s="118"/>
      <c r="R95" s="118"/>
      <c r="S95" s="118"/>
      <c r="T95" s="118"/>
      <c r="U95" s="69">
        <f t="shared" si="7"/>
        <v>0</v>
      </c>
      <c r="V95" s="118"/>
      <c r="W95" s="118"/>
      <c r="X95" s="118"/>
      <c r="Y95" s="118"/>
      <c r="Z95" s="118"/>
      <c r="AA95" s="118"/>
      <c r="AB95" s="70">
        <f t="shared" si="8"/>
        <v>0</v>
      </c>
      <c r="AC95" s="71">
        <f t="shared" si="9"/>
        <v>0</v>
      </c>
    </row>
    <row r="96" spans="1:29" ht="26.25">
      <c r="A96" s="81">
        <v>90</v>
      </c>
      <c r="B96" s="162" t="str">
        <f>DATA!A91</f>
        <v>Viết Lông Dầu Apolo 777 (đỏ)</v>
      </c>
      <c r="C96" s="84" t="str">
        <f>DATA!B91</f>
        <v>cây</v>
      </c>
      <c r="D96" s="85">
        <f>DATA!C91</f>
        <v>4200</v>
      </c>
      <c r="E96" s="66"/>
      <c r="F96" s="66"/>
      <c r="G96" s="66"/>
      <c r="H96" s="66"/>
      <c r="I96" s="66"/>
      <c r="J96" s="66"/>
      <c r="K96" s="66"/>
      <c r="L96" s="67">
        <f t="shared" si="5"/>
        <v>0</v>
      </c>
      <c r="M96" s="118"/>
      <c r="N96" s="118"/>
      <c r="O96" s="118"/>
      <c r="P96" s="68">
        <f t="shared" si="6"/>
        <v>0</v>
      </c>
      <c r="Q96" s="118"/>
      <c r="R96" s="118"/>
      <c r="S96" s="118"/>
      <c r="T96" s="118"/>
      <c r="U96" s="69">
        <f t="shared" si="7"/>
        <v>0</v>
      </c>
      <c r="V96" s="118"/>
      <c r="W96" s="118"/>
      <c r="X96" s="118"/>
      <c r="Y96" s="118"/>
      <c r="Z96" s="118"/>
      <c r="AA96" s="118"/>
      <c r="AB96" s="70">
        <f t="shared" si="8"/>
        <v>0</v>
      </c>
      <c r="AC96" s="71">
        <f t="shared" si="9"/>
        <v>0</v>
      </c>
    </row>
    <row r="97" spans="1:29" ht="26.25">
      <c r="A97" s="79">
        <v>91</v>
      </c>
      <c r="B97" s="162" t="str">
        <f>DATA!A92</f>
        <v>Viết Lông Dầu Apolo Xanh 777</v>
      </c>
      <c r="C97" s="84" t="str">
        <f>DATA!B92</f>
        <v>cây</v>
      </c>
      <c r="D97" s="85">
        <f>DATA!C92</f>
        <v>4200</v>
      </c>
      <c r="E97" s="66"/>
      <c r="F97" s="66"/>
      <c r="G97" s="66">
        <v>10</v>
      </c>
      <c r="H97" s="66"/>
      <c r="I97" s="66"/>
      <c r="J97" s="66"/>
      <c r="K97" s="66"/>
      <c r="L97" s="67">
        <f t="shared" si="5"/>
        <v>10</v>
      </c>
      <c r="M97" s="118"/>
      <c r="N97" s="118"/>
      <c r="O97" s="118"/>
      <c r="P97" s="68">
        <f t="shared" si="6"/>
        <v>0</v>
      </c>
      <c r="Q97" s="118"/>
      <c r="R97" s="118"/>
      <c r="S97" s="118"/>
      <c r="T97" s="118"/>
      <c r="U97" s="69">
        <f t="shared" si="7"/>
        <v>0</v>
      </c>
      <c r="V97" s="118"/>
      <c r="W97" s="118"/>
      <c r="X97" s="118"/>
      <c r="Y97" s="118"/>
      <c r="Z97" s="118"/>
      <c r="AA97" s="118"/>
      <c r="AB97" s="70">
        <f t="shared" si="8"/>
        <v>0</v>
      </c>
      <c r="AC97" s="71">
        <f t="shared" si="9"/>
        <v>10</v>
      </c>
    </row>
    <row r="98" spans="1:29" ht="26.25">
      <c r="A98" s="81">
        <v>92</v>
      </c>
      <c r="B98" s="162" t="str">
        <f>DATA!A93</f>
        <v>Viết Xóa Thiên Long Cp-05</v>
      </c>
      <c r="C98" s="84" t="str">
        <f>DATA!B93</f>
        <v>cây</v>
      </c>
      <c r="D98" s="85">
        <f>DATA!C93</f>
        <v>16000</v>
      </c>
      <c r="E98" s="118"/>
      <c r="F98" s="118"/>
      <c r="G98" s="118"/>
      <c r="H98" s="118"/>
      <c r="I98" s="118"/>
      <c r="J98" s="118"/>
      <c r="K98" s="118"/>
      <c r="L98" s="67">
        <f t="shared" si="5"/>
        <v>0</v>
      </c>
      <c r="M98" s="118"/>
      <c r="N98" s="118"/>
      <c r="O98" s="118"/>
      <c r="P98" s="68">
        <f t="shared" si="6"/>
        <v>0</v>
      </c>
      <c r="Q98" s="118"/>
      <c r="R98" s="118"/>
      <c r="S98" s="118"/>
      <c r="T98" s="118"/>
      <c r="U98" s="69">
        <f t="shared" si="7"/>
        <v>0</v>
      </c>
      <c r="V98" s="118"/>
      <c r="W98" s="118"/>
      <c r="X98" s="118"/>
      <c r="Y98" s="118"/>
      <c r="Z98" s="118"/>
      <c r="AA98" s="118"/>
      <c r="AB98" s="70">
        <f t="shared" si="8"/>
        <v>0</v>
      </c>
      <c r="AC98" s="71">
        <f t="shared" si="9"/>
        <v>0</v>
      </c>
    </row>
    <row r="99" spans="1:29" ht="30">
      <c r="A99" s="79">
        <v>93</v>
      </c>
      <c r="B99" s="162" t="str">
        <f>DATA!A94</f>
        <v>Viết Lông Bảng Xanh Thiên Long</v>
      </c>
      <c r="C99" s="84" t="str">
        <f>DATA!B94</f>
        <v>cây</v>
      </c>
      <c r="D99" s="85">
        <f>DATA!C94</f>
        <v>5200</v>
      </c>
      <c r="E99" s="118"/>
      <c r="F99" s="118"/>
      <c r="G99" s="118"/>
      <c r="H99" s="118"/>
      <c r="I99" s="118"/>
      <c r="J99" s="118"/>
      <c r="K99" s="118"/>
      <c r="L99" s="67">
        <f t="shared" si="5"/>
        <v>0</v>
      </c>
      <c r="M99" s="118"/>
      <c r="N99" s="118"/>
      <c r="O99" s="118"/>
      <c r="P99" s="68">
        <f t="shared" si="6"/>
        <v>0</v>
      </c>
      <c r="Q99" s="118"/>
      <c r="R99" s="118"/>
      <c r="S99" s="118"/>
      <c r="T99" s="118"/>
      <c r="U99" s="69">
        <f t="shared" si="7"/>
        <v>0</v>
      </c>
      <c r="V99" s="118"/>
      <c r="W99" s="118"/>
      <c r="X99" s="118"/>
      <c r="Y99" s="118"/>
      <c r="Z99" s="118"/>
      <c r="AA99" s="118"/>
      <c r="AB99" s="70">
        <f t="shared" si="8"/>
        <v>0</v>
      </c>
      <c r="AC99" s="71">
        <f t="shared" si="9"/>
        <v>0</v>
      </c>
    </row>
    <row r="100" spans="1:29" ht="26.25">
      <c r="A100" s="79">
        <v>94</v>
      </c>
      <c r="B100" s="162" t="str">
        <f>DATA!A95</f>
        <v xml:space="preserve">Nước rửa kính Gift 580ml </v>
      </c>
      <c r="C100" s="84" t="str">
        <f>DATA!B95</f>
        <v>Chai</v>
      </c>
      <c r="D100" s="85">
        <f>DATA!C95</f>
        <v>24000</v>
      </c>
      <c r="E100" s="119"/>
      <c r="F100" s="119"/>
      <c r="G100" s="119"/>
      <c r="H100" s="119"/>
      <c r="I100" s="119"/>
      <c r="J100" s="119"/>
      <c r="K100" s="119"/>
      <c r="L100" s="97">
        <f t="shared" ref="L100:L114" si="10">SUM(E100:K100)</f>
        <v>0</v>
      </c>
      <c r="M100" s="119"/>
      <c r="N100" s="119"/>
      <c r="O100" s="119"/>
      <c r="P100" s="98">
        <f t="shared" ref="P100:P114" si="11">SUM(M100:O100)</f>
        <v>0</v>
      </c>
      <c r="Q100" s="119"/>
      <c r="R100" s="119"/>
      <c r="S100" s="119"/>
      <c r="T100" s="119"/>
      <c r="U100" s="99">
        <f t="shared" ref="U100:U114" si="12">SUM(Q100:T100)</f>
        <v>0</v>
      </c>
      <c r="V100" s="119"/>
      <c r="W100" s="119"/>
      <c r="X100" s="119"/>
      <c r="Y100" s="119"/>
      <c r="Z100" s="119"/>
      <c r="AA100" s="119"/>
      <c r="AB100" s="100">
        <f t="shared" ref="AB100" si="13">SUM(V100:AA100)</f>
        <v>0</v>
      </c>
      <c r="AC100" s="101">
        <f t="shared" ref="AC100" si="14">L100+P100+U100+AB100</f>
        <v>0</v>
      </c>
    </row>
    <row r="101" spans="1:29" ht="26.25">
      <c r="A101" s="79">
        <v>95</v>
      </c>
      <c r="B101" s="162" t="str">
        <f>DATA!A96</f>
        <v>Keo 502</v>
      </c>
      <c r="C101" s="84" t="str">
        <f>DATA!B96</f>
        <v>hộp</v>
      </c>
      <c r="D101" s="116">
        <f>DATA!C96</f>
        <v>3500</v>
      </c>
      <c r="E101" s="119"/>
      <c r="F101" s="120"/>
      <c r="G101" s="120"/>
      <c r="H101" s="120"/>
      <c r="I101" s="120"/>
      <c r="J101" s="119"/>
      <c r="K101" s="120"/>
      <c r="L101" s="97">
        <f t="shared" si="10"/>
        <v>0</v>
      </c>
      <c r="M101" s="120"/>
      <c r="N101" s="120"/>
      <c r="O101" s="120"/>
      <c r="P101" s="98">
        <f t="shared" si="11"/>
        <v>0</v>
      </c>
      <c r="Q101" s="120"/>
      <c r="R101" s="120"/>
      <c r="S101" s="120"/>
      <c r="T101" s="120"/>
      <c r="U101" s="99">
        <f t="shared" si="12"/>
        <v>0</v>
      </c>
      <c r="V101" s="120"/>
      <c r="W101" s="120"/>
      <c r="X101" s="120"/>
      <c r="Y101" s="120"/>
      <c r="Z101" s="120"/>
      <c r="AA101" s="120"/>
      <c r="AB101" s="100">
        <f t="shared" ref="AB101" si="15">SUM(V101:AA101)</f>
        <v>0</v>
      </c>
      <c r="AC101" s="101">
        <f t="shared" ref="AC101" si="16">L101+P101+U101+AB101</f>
        <v>0</v>
      </c>
    </row>
    <row r="102" spans="1:29" ht="26.25">
      <c r="A102" s="79">
        <v>96</v>
      </c>
      <c r="B102" s="162" t="str">
        <f>DATA!A97</f>
        <v>Kẹp Bướm 19Mm</v>
      </c>
      <c r="C102" s="84" t="str">
        <f>DATA!B97</f>
        <v>hộp</v>
      </c>
      <c r="D102" s="133">
        <f>DATA!C97</f>
        <v>3400</v>
      </c>
      <c r="E102" s="121"/>
      <c r="F102" s="121"/>
      <c r="G102" s="121"/>
      <c r="H102" s="121"/>
      <c r="I102" s="121"/>
      <c r="J102" s="121"/>
      <c r="K102" s="121"/>
      <c r="L102" s="97">
        <f t="shared" si="10"/>
        <v>0</v>
      </c>
      <c r="M102" s="121"/>
      <c r="N102" s="121"/>
      <c r="O102" s="121"/>
      <c r="P102" s="98">
        <f t="shared" si="11"/>
        <v>0</v>
      </c>
      <c r="Q102" s="121"/>
      <c r="R102" s="121"/>
      <c r="S102" s="121"/>
      <c r="T102" s="121"/>
      <c r="U102" s="99">
        <f t="shared" si="12"/>
        <v>0</v>
      </c>
      <c r="V102" s="121"/>
      <c r="W102" s="121"/>
      <c r="X102" s="121"/>
      <c r="Y102" s="121"/>
      <c r="Z102" s="121"/>
      <c r="AA102" s="121"/>
      <c r="AB102" s="100">
        <f t="shared" ref="AB102:AB112" si="17">SUM(V102:AA102)</f>
        <v>0</v>
      </c>
      <c r="AC102" s="101">
        <f t="shared" ref="AC102:AC112" si="18">L102+P102+U102+AB102</f>
        <v>0</v>
      </c>
    </row>
    <row r="103" spans="1:29" ht="26.25">
      <c r="A103" s="79">
        <v>97</v>
      </c>
      <c r="B103" s="162" t="str">
        <f>DATA!A98</f>
        <v>Kẹp Bướm 25Mm</v>
      </c>
      <c r="C103" s="84" t="str">
        <f>DATA!B98</f>
        <v>hộp</v>
      </c>
      <c r="D103" s="133">
        <f>DATA!C98</f>
        <v>5500</v>
      </c>
      <c r="E103" s="121"/>
      <c r="F103" s="121"/>
      <c r="G103" s="121"/>
      <c r="H103" s="121"/>
      <c r="I103" s="121"/>
      <c r="J103" s="121"/>
      <c r="K103" s="121"/>
      <c r="L103" s="97">
        <f t="shared" si="10"/>
        <v>0</v>
      </c>
      <c r="M103" s="121"/>
      <c r="N103" s="121"/>
      <c r="O103" s="121"/>
      <c r="P103" s="98">
        <f t="shared" si="11"/>
        <v>0</v>
      </c>
      <c r="Q103" s="121"/>
      <c r="R103" s="121"/>
      <c r="S103" s="121"/>
      <c r="T103" s="121"/>
      <c r="U103" s="99">
        <f t="shared" si="12"/>
        <v>0</v>
      </c>
      <c r="V103" s="121"/>
      <c r="W103" s="121"/>
      <c r="X103" s="121"/>
      <c r="Y103" s="121"/>
      <c r="Z103" s="121"/>
      <c r="AA103" s="121"/>
      <c r="AB103" s="100">
        <f t="shared" si="17"/>
        <v>0</v>
      </c>
      <c r="AC103" s="101">
        <f t="shared" si="18"/>
        <v>0</v>
      </c>
    </row>
    <row r="104" spans="1:29" ht="26.25">
      <c r="A104" s="79">
        <v>98</v>
      </c>
      <c r="B104" s="162" t="str">
        <f>DATA!A99</f>
        <v>Kẹp Bướm 32Mm</v>
      </c>
      <c r="C104" s="84" t="str">
        <f>DATA!B99</f>
        <v>hộp</v>
      </c>
      <c r="D104" s="133">
        <f>DATA!C99</f>
        <v>8000</v>
      </c>
      <c r="E104" s="121"/>
      <c r="F104" s="121"/>
      <c r="G104" s="121"/>
      <c r="H104" s="121"/>
      <c r="I104" s="121"/>
      <c r="J104" s="121"/>
      <c r="K104" s="121"/>
      <c r="L104" s="97">
        <f t="shared" si="10"/>
        <v>0</v>
      </c>
      <c r="M104" s="121"/>
      <c r="N104" s="121"/>
      <c r="O104" s="121"/>
      <c r="P104" s="98">
        <f t="shared" si="11"/>
        <v>0</v>
      </c>
      <c r="Q104" s="121"/>
      <c r="R104" s="121"/>
      <c r="S104" s="121"/>
      <c r="T104" s="121"/>
      <c r="U104" s="99">
        <f t="shared" si="12"/>
        <v>0</v>
      </c>
      <c r="V104" s="121"/>
      <c r="W104" s="121"/>
      <c r="X104" s="121"/>
      <c r="Y104" s="121"/>
      <c r="Z104" s="121"/>
      <c r="AA104" s="121"/>
      <c r="AB104" s="100">
        <f t="shared" si="17"/>
        <v>0</v>
      </c>
      <c r="AC104" s="101">
        <f t="shared" si="18"/>
        <v>0</v>
      </c>
    </row>
    <row r="105" spans="1:29" ht="26.25">
      <c r="A105" s="79">
        <v>99</v>
      </c>
      <c r="B105" s="162" t="str">
        <f>DATA!A100</f>
        <v>Kẹp Bướm 41Mm</v>
      </c>
      <c r="C105" s="84" t="str">
        <f>DATA!B100</f>
        <v>hộp</v>
      </c>
      <c r="D105" s="133">
        <f>DATA!C100</f>
        <v>12000</v>
      </c>
      <c r="E105" s="121"/>
      <c r="F105" s="121"/>
      <c r="G105" s="121"/>
      <c r="H105" s="121"/>
      <c r="I105" s="121"/>
      <c r="J105" s="121"/>
      <c r="K105" s="121"/>
      <c r="L105" s="97">
        <f t="shared" si="10"/>
        <v>0</v>
      </c>
      <c r="M105" s="121"/>
      <c r="N105" s="121"/>
      <c r="O105" s="121"/>
      <c r="P105" s="98">
        <f t="shared" si="11"/>
        <v>0</v>
      </c>
      <c r="Q105" s="121"/>
      <c r="R105" s="121"/>
      <c r="S105" s="121"/>
      <c r="T105" s="121"/>
      <c r="U105" s="99">
        <f t="shared" si="12"/>
        <v>0</v>
      </c>
      <c r="V105" s="121"/>
      <c r="W105" s="121"/>
      <c r="X105" s="121"/>
      <c r="Y105" s="121"/>
      <c r="Z105" s="121"/>
      <c r="AA105" s="121"/>
      <c r="AB105" s="100">
        <f t="shared" si="17"/>
        <v>0</v>
      </c>
      <c r="AC105" s="101">
        <f t="shared" si="18"/>
        <v>0</v>
      </c>
    </row>
    <row r="106" spans="1:29" ht="26.25">
      <c r="A106" s="79">
        <v>100</v>
      </c>
      <c r="B106" s="162" t="str">
        <f>DATA!A101</f>
        <v>Kẹp Bướm 51Mm</v>
      </c>
      <c r="C106" s="84" t="str">
        <f>DATA!B101</f>
        <v>hộp</v>
      </c>
      <c r="D106" s="133">
        <f>DATA!C101</f>
        <v>17500</v>
      </c>
      <c r="E106" s="121"/>
      <c r="F106" s="121"/>
      <c r="G106" s="121"/>
      <c r="H106" s="121"/>
      <c r="I106" s="121"/>
      <c r="J106" s="121"/>
      <c r="K106" s="121"/>
      <c r="L106" s="97">
        <f t="shared" si="10"/>
        <v>0</v>
      </c>
      <c r="M106" s="121"/>
      <c r="N106" s="121"/>
      <c r="O106" s="121"/>
      <c r="P106" s="98">
        <f t="shared" si="11"/>
        <v>0</v>
      </c>
      <c r="Q106" s="121"/>
      <c r="R106" s="121"/>
      <c r="S106" s="121"/>
      <c r="T106" s="121"/>
      <c r="U106" s="99">
        <f t="shared" si="12"/>
        <v>0</v>
      </c>
      <c r="V106" s="121"/>
      <c r="W106" s="121"/>
      <c r="X106" s="121"/>
      <c r="Y106" s="121"/>
      <c r="Z106" s="121"/>
      <c r="AA106" s="121"/>
      <c r="AB106" s="100">
        <f t="shared" si="17"/>
        <v>0</v>
      </c>
      <c r="AC106" s="101">
        <f t="shared" si="18"/>
        <v>0</v>
      </c>
    </row>
    <row r="107" spans="1:29" ht="26.25">
      <c r="A107" s="79">
        <v>101</v>
      </c>
      <c r="B107" s="162" t="str">
        <f>DATA!A102</f>
        <v>Ly Nhựa 411 140Ml</v>
      </c>
      <c r="C107" s="84" t="str">
        <f>DATA!B102</f>
        <v>Cái</v>
      </c>
      <c r="D107" s="133">
        <f>DATA!C102</f>
        <v>170</v>
      </c>
      <c r="E107" s="121"/>
      <c r="F107" s="156"/>
      <c r="G107" s="123"/>
      <c r="H107" s="121"/>
      <c r="I107" s="121"/>
      <c r="J107" s="121"/>
      <c r="K107" s="121"/>
      <c r="L107" s="97">
        <f t="shared" si="10"/>
        <v>0</v>
      </c>
      <c r="M107" s="121"/>
      <c r="N107" s="121"/>
      <c r="O107" s="121"/>
      <c r="P107" s="98">
        <f t="shared" si="11"/>
        <v>0</v>
      </c>
      <c r="Q107" s="121"/>
      <c r="R107" s="121"/>
      <c r="S107" s="121"/>
      <c r="T107" s="121"/>
      <c r="U107" s="99">
        <f t="shared" si="12"/>
        <v>0</v>
      </c>
      <c r="V107" s="121"/>
      <c r="W107" s="121"/>
      <c r="X107" s="121"/>
      <c r="Y107" s="121"/>
      <c r="Z107" s="121"/>
      <c r="AA107" s="121"/>
      <c r="AB107" s="100">
        <f t="shared" si="17"/>
        <v>0</v>
      </c>
      <c r="AC107" s="101">
        <f t="shared" si="18"/>
        <v>0</v>
      </c>
    </row>
    <row r="108" spans="1:29" ht="26.25">
      <c r="A108" s="79">
        <v>102</v>
      </c>
      <c r="B108" s="162" t="str">
        <f>DATA!A103</f>
        <v>Chỗi nylon trung</v>
      </c>
      <c r="C108" s="84" t="str">
        <f>DATA!B103</f>
        <v>cây</v>
      </c>
      <c r="D108" s="133">
        <f>DATA!C103</f>
        <v>0</v>
      </c>
      <c r="E108" s="121"/>
      <c r="F108" s="121"/>
      <c r="G108" s="121"/>
      <c r="H108" s="121"/>
      <c r="I108" s="121"/>
      <c r="J108" s="121"/>
      <c r="K108" s="121"/>
      <c r="L108" s="97">
        <f t="shared" si="10"/>
        <v>0</v>
      </c>
      <c r="M108" s="121"/>
      <c r="N108" s="121"/>
      <c r="O108" s="121"/>
      <c r="P108" s="98">
        <f t="shared" si="11"/>
        <v>0</v>
      </c>
      <c r="Q108" s="121"/>
      <c r="R108" s="121"/>
      <c r="S108" s="121"/>
      <c r="T108" s="121"/>
      <c r="U108" s="99">
        <f t="shared" si="12"/>
        <v>0</v>
      </c>
      <c r="V108" s="121"/>
      <c r="W108" s="121"/>
      <c r="X108" s="121"/>
      <c r="Y108" s="121"/>
      <c r="Z108" s="121"/>
      <c r="AA108" s="121"/>
      <c r="AB108" s="100">
        <f t="shared" si="17"/>
        <v>0</v>
      </c>
      <c r="AC108" s="101">
        <f t="shared" si="18"/>
        <v>0</v>
      </c>
    </row>
    <row r="109" spans="1:29" ht="26.25">
      <c r="A109" s="79">
        <v>103</v>
      </c>
      <c r="B109" s="162" t="str">
        <f>DATA!A104</f>
        <v>Bao Thư Cửa Sổ 12X22</v>
      </c>
      <c r="C109" s="84" t="str">
        <f>DATA!B104</f>
        <v>Cái</v>
      </c>
      <c r="D109" s="133">
        <f>DATA!C104</f>
        <v>210</v>
      </c>
      <c r="E109" s="121"/>
      <c r="F109" s="121"/>
      <c r="G109" s="121"/>
      <c r="H109" s="121"/>
      <c r="I109" s="121"/>
      <c r="J109" s="121"/>
      <c r="K109" s="121"/>
      <c r="L109" s="97">
        <f t="shared" si="10"/>
        <v>0</v>
      </c>
      <c r="M109" s="121"/>
      <c r="N109" s="121"/>
      <c r="O109" s="121"/>
      <c r="P109" s="98">
        <f t="shared" si="11"/>
        <v>0</v>
      </c>
      <c r="Q109" s="121"/>
      <c r="R109" s="121"/>
      <c r="S109" s="121"/>
      <c r="T109" s="121"/>
      <c r="U109" s="99">
        <f t="shared" si="12"/>
        <v>0</v>
      </c>
      <c r="V109" s="121"/>
      <c r="W109" s="121"/>
      <c r="X109" s="121"/>
      <c r="Y109" s="121"/>
      <c r="Z109" s="121"/>
      <c r="AA109" s="121"/>
      <c r="AB109" s="100">
        <f t="shared" si="17"/>
        <v>0</v>
      </c>
      <c r="AC109" s="101">
        <f t="shared" si="18"/>
        <v>0</v>
      </c>
    </row>
    <row r="110" spans="1:29" ht="26.25">
      <c r="A110" s="79">
        <v>104</v>
      </c>
      <c r="B110" s="162" t="str">
        <f>DATA!A105</f>
        <v>Bao Thư Trắng 12X22-80G/M2</v>
      </c>
      <c r="C110" s="84" t="str">
        <f>DATA!B105</f>
        <v>Cái</v>
      </c>
      <c r="D110" s="133">
        <f>DATA!C105</f>
        <v>230</v>
      </c>
      <c r="E110" s="121"/>
      <c r="F110" s="121"/>
      <c r="G110" s="121"/>
      <c r="H110" s="121"/>
      <c r="I110" s="121"/>
      <c r="J110" s="121"/>
      <c r="K110" s="121"/>
      <c r="L110" s="97">
        <f t="shared" si="10"/>
        <v>0</v>
      </c>
      <c r="M110" s="121"/>
      <c r="N110" s="121"/>
      <c r="O110" s="121"/>
      <c r="P110" s="98">
        <f t="shared" si="11"/>
        <v>0</v>
      </c>
      <c r="Q110" s="121"/>
      <c r="R110" s="121"/>
      <c r="S110" s="121"/>
      <c r="T110" s="121"/>
      <c r="U110" s="99">
        <f t="shared" si="12"/>
        <v>0</v>
      </c>
      <c r="V110" s="121"/>
      <c r="W110" s="121"/>
      <c r="X110" s="121"/>
      <c r="Y110" s="121"/>
      <c r="Z110" s="121"/>
      <c r="AA110" s="121"/>
      <c r="AB110" s="100">
        <f t="shared" si="17"/>
        <v>0</v>
      </c>
      <c r="AC110" s="101">
        <f t="shared" si="18"/>
        <v>0</v>
      </c>
    </row>
    <row r="111" spans="1:29" ht="26.25">
      <c r="A111" s="79">
        <v>105</v>
      </c>
      <c r="B111" s="162" t="str">
        <f>DATA!A106</f>
        <v>Bao Thư Trắng 25X35-80G/M2</v>
      </c>
      <c r="C111" s="84" t="str">
        <f>DATA!B106</f>
        <v>Cái</v>
      </c>
      <c r="D111" s="133">
        <f>DATA!C106</f>
        <v>750</v>
      </c>
      <c r="E111" s="121"/>
      <c r="F111" s="121"/>
      <c r="G111" s="121"/>
      <c r="H111" s="121"/>
      <c r="I111" s="121"/>
      <c r="J111" s="121"/>
      <c r="K111" s="121"/>
      <c r="L111" s="97">
        <f t="shared" si="10"/>
        <v>0</v>
      </c>
      <c r="M111" s="121"/>
      <c r="N111" s="121"/>
      <c r="O111" s="121"/>
      <c r="P111" s="98">
        <f t="shared" si="11"/>
        <v>0</v>
      </c>
      <c r="Q111" s="121"/>
      <c r="R111" s="121"/>
      <c r="S111" s="121"/>
      <c r="T111" s="121"/>
      <c r="U111" s="99">
        <f t="shared" si="12"/>
        <v>0</v>
      </c>
      <c r="V111" s="121"/>
      <c r="W111" s="121"/>
      <c r="X111" s="121"/>
      <c r="Y111" s="121"/>
      <c r="Z111" s="121"/>
      <c r="AA111" s="121"/>
      <c r="AB111" s="100">
        <f t="shared" si="17"/>
        <v>0</v>
      </c>
      <c r="AC111" s="101">
        <f t="shared" si="18"/>
        <v>0</v>
      </c>
    </row>
    <row r="112" spans="1:29" ht="26.25">
      <c r="A112" s="79">
        <v>106</v>
      </c>
      <c r="B112" s="162" t="str">
        <f>DATA!A107</f>
        <v>Bao Thư Trắng A5</v>
      </c>
      <c r="C112" s="84" t="str">
        <f>DATA!B107</f>
        <v>Cái</v>
      </c>
      <c r="D112" s="133">
        <f>DATA!C107</f>
        <v>450</v>
      </c>
      <c r="E112" s="121"/>
      <c r="F112" s="121"/>
      <c r="G112" s="121"/>
      <c r="H112" s="121"/>
      <c r="I112" s="121"/>
      <c r="J112" s="121"/>
      <c r="K112" s="121"/>
      <c r="L112" s="67">
        <f t="shared" si="10"/>
        <v>0</v>
      </c>
      <c r="M112" s="121"/>
      <c r="N112" s="121"/>
      <c r="O112" s="121"/>
      <c r="P112" s="68">
        <f t="shared" si="11"/>
        <v>0</v>
      </c>
      <c r="Q112" s="121"/>
      <c r="R112" s="121"/>
      <c r="S112" s="121"/>
      <c r="T112" s="121"/>
      <c r="U112" s="69">
        <f t="shared" si="12"/>
        <v>0</v>
      </c>
      <c r="V112" s="121"/>
      <c r="W112" s="121"/>
      <c r="X112" s="121"/>
      <c r="Y112" s="121"/>
      <c r="Z112" s="121"/>
      <c r="AA112" s="121"/>
      <c r="AB112" s="70">
        <f t="shared" si="17"/>
        <v>0</v>
      </c>
      <c r="AC112" s="71">
        <f t="shared" si="18"/>
        <v>0</v>
      </c>
    </row>
    <row r="113" spans="1:29" ht="30">
      <c r="A113" s="138">
        <v>107</v>
      </c>
      <c r="B113" s="162" t="str">
        <f>DATA!A108</f>
        <v>Ly nhựa nhỏ Tân Hiệp Hưng 399</v>
      </c>
      <c r="C113" s="139" t="str">
        <f>DATA!B108</f>
        <v>cái</v>
      </c>
      <c r="D113" s="140">
        <f>DATA!C108</f>
        <v>260</v>
      </c>
      <c r="E113" s="141"/>
      <c r="F113" s="120"/>
      <c r="G113" s="120"/>
      <c r="H113" s="141"/>
      <c r="I113" s="141"/>
      <c r="J113" s="141"/>
      <c r="K113" s="141"/>
      <c r="L113" s="97">
        <f t="shared" si="10"/>
        <v>0</v>
      </c>
      <c r="M113" s="141"/>
      <c r="N113" s="141"/>
      <c r="O113" s="141"/>
      <c r="P113" s="142">
        <f t="shared" si="11"/>
        <v>0</v>
      </c>
      <c r="Q113" s="141"/>
      <c r="R113" s="141"/>
      <c r="S113" s="141"/>
      <c r="T113" s="141"/>
      <c r="U113" s="143">
        <f t="shared" si="12"/>
        <v>0</v>
      </c>
      <c r="V113" s="141"/>
      <c r="W113" s="141"/>
      <c r="X113" s="141"/>
      <c r="Y113" s="141"/>
      <c r="Z113" s="141"/>
      <c r="AA113" s="141"/>
      <c r="AB113" s="128">
        <f t="shared" ref="AB113" si="19">SUM(V113:AA113)</f>
        <v>0</v>
      </c>
      <c r="AC113" s="129">
        <f t="shared" ref="AC113" si="20">L113+P113+U113+AB113</f>
        <v>0</v>
      </c>
    </row>
    <row r="114" spans="1:29" ht="26.25">
      <c r="A114" s="145">
        <v>108</v>
      </c>
      <c r="B114" s="162" t="str">
        <f>DATA!A109</f>
        <v>băng keo 2.5p 100 yard</v>
      </c>
      <c r="C114" s="144" t="str">
        <f>DATA!B109</f>
        <v>cuộn</v>
      </c>
      <c r="D114" s="133">
        <f>DATA!C109</f>
        <v>6200</v>
      </c>
      <c r="E114" s="148"/>
      <c r="F114" s="148"/>
      <c r="G114" s="148"/>
      <c r="H114" s="148"/>
      <c r="I114" s="148"/>
      <c r="J114" s="148"/>
      <c r="K114" s="148"/>
      <c r="L114" s="127">
        <f t="shared" si="10"/>
        <v>0</v>
      </c>
      <c r="M114" s="148">
        <v>10</v>
      </c>
      <c r="N114" s="148"/>
      <c r="O114" s="148"/>
      <c r="P114" s="134">
        <f t="shared" si="11"/>
        <v>10</v>
      </c>
      <c r="Q114" s="148"/>
      <c r="R114" s="148"/>
      <c r="S114" s="148"/>
      <c r="T114" s="148"/>
      <c r="U114" s="135">
        <f t="shared" si="12"/>
        <v>0</v>
      </c>
      <c r="V114" s="148"/>
      <c r="W114" s="148"/>
      <c r="X114" s="148"/>
      <c r="Y114" s="148"/>
      <c r="Z114" s="148"/>
      <c r="AA114" s="148"/>
      <c r="AB114" s="146">
        <f t="shared" ref="AB114" si="21">SUM(V114:AA114)</f>
        <v>0</v>
      </c>
      <c r="AC114" s="147">
        <f t="shared" ref="AC114" si="22">L114+P114+U114+AB114</f>
        <v>10</v>
      </c>
    </row>
    <row r="115" spans="1:29" ht="26.25">
      <c r="A115" s="145">
        <v>109</v>
      </c>
      <c r="B115" s="162" t="str">
        <f>DATA!A110</f>
        <v>Cana đánh bóng 220g</v>
      </c>
      <c r="C115" s="144" t="str">
        <f>DATA!B110</f>
        <v>hộp</v>
      </c>
      <c r="D115" s="133">
        <f>DATA!C110</f>
        <v>48000</v>
      </c>
      <c r="E115" s="148"/>
      <c r="F115" s="148"/>
      <c r="G115" s="148"/>
      <c r="H115" s="148"/>
      <c r="I115" s="148"/>
      <c r="J115" s="148"/>
      <c r="K115" s="148"/>
      <c r="L115" s="127">
        <f t="shared" ref="L115" si="23">SUM(E115:K115)</f>
        <v>0</v>
      </c>
      <c r="M115" s="148"/>
      <c r="N115" s="148"/>
      <c r="O115" s="148"/>
      <c r="P115" s="134">
        <f t="shared" ref="P115" si="24">SUM(M115:O115)</f>
        <v>0</v>
      </c>
      <c r="Q115" s="148"/>
      <c r="R115" s="148"/>
      <c r="S115" s="148"/>
      <c r="T115" s="148"/>
      <c r="U115" s="135">
        <f t="shared" ref="U115" si="25">SUM(Q115:T115)</f>
        <v>0</v>
      </c>
      <c r="V115" s="148"/>
      <c r="W115" s="148"/>
      <c r="X115" s="148"/>
      <c r="Y115" s="148"/>
      <c r="Z115" s="148"/>
      <c r="AA115" s="148"/>
      <c r="AB115" s="146">
        <f t="shared" ref="AB115" si="26">SUM(V115:AA115)</f>
        <v>0</v>
      </c>
      <c r="AC115" s="147">
        <f t="shared" ref="AC115" si="27">L115+P115+U115+AB115</f>
        <v>0</v>
      </c>
    </row>
    <row r="116" spans="1:29" ht="30">
      <c r="A116" s="145">
        <v>110</v>
      </c>
      <c r="B116" s="162" t="str">
        <f>DATA!A111</f>
        <v>Rổ xéo nhựa 1 ngăn - xanh dương</v>
      </c>
      <c r="C116" s="144" t="str">
        <f>DATA!B111</f>
        <v>cái</v>
      </c>
      <c r="D116" s="133">
        <f>DATA!C111</f>
        <v>11200</v>
      </c>
      <c r="E116" s="148"/>
      <c r="F116" s="148"/>
      <c r="G116" s="148"/>
      <c r="H116" s="148"/>
      <c r="I116" s="148"/>
      <c r="J116" s="148"/>
      <c r="K116" s="148"/>
      <c r="L116" s="127">
        <f t="shared" ref="L116:L179" si="28">SUM(E116:K116)</f>
        <v>0</v>
      </c>
      <c r="M116" s="148"/>
      <c r="N116" s="148"/>
      <c r="O116" s="148"/>
      <c r="P116" s="134">
        <f t="shared" ref="P116:P179" si="29">SUM(M116:O116)</f>
        <v>0</v>
      </c>
      <c r="Q116" s="148"/>
      <c r="R116" s="148"/>
      <c r="S116" s="148"/>
      <c r="T116" s="148"/>
      <c r="U116" s="135">
        <f t="shared" ref="U116:U179" si="30">SUM(Q116:T116)</f>
        <v>0</v>
      </c>
      <c r="V116" s="148"/>
      <c r="W116" s="148"/>
      <c r="X116" s="148"/>
      <c r="Y116" s="148"/>
      <c r="Z116" s="148"/>
      <c r="AA116" s="148"/>
      <c r="AB116" s="146">
        <f t="shared" ref="AB116" si="31">SUM(V116:AA116)</f>
        <v>0</v>
      </c>
      <c r="AC116" s="147">
        <f t="shared" ref="AC116" si="32">L116+P116+U116+AB116</f>
        <v>0</v>
      </c>
    </row>
    <row r="117" spans="1:29" ht="26.25">
      <c r="A117" s="145">
        <v>111</v>
      </c>
      <c r="B117" s="162" t="str">
        <f>DATA!A112</f>
        <v>Bút lông dầu Artline EK 100 đen</v>
      </c>
      <c r="C117" s="144" t="str">
        <f>DATA!B112</f>
        <v>cây</v>
      </c>
      <c r="D117" s="133">
        <f>DATA!C112</f>
        <v>41000</v>
      </c>
      <c r="E117" s="148"/>
      <c r="F117" s="148"/>
      <c r="G117" s="148"/>
      <c r="H117" s="148"/>
      <c r="I117" s="148"/>
      <c r="J117" s="148"/>
      <c r="K117" s="148"/>
      <c r="L117" s="127">
        <f t="shared" si="28"/>
        <v>0</v>
      </c>
      <c r="M117" s="148"/>
      <c r="N117" s="148"/>
      <c r="O117" s="148"/>
      <c r="P117" s="134">
        <f t="shared" si="29"/>
        <v>0</v>
      </c>
      <c r="Q117" s="148"/>
      <c r="R117" s="148"/>
      <c r="S117" s="148"/>
      <c r="T117" s="148"/>
      <c r="U117" s="135">
        <f t="shared" si="30"/>
        <v>0</v>
      </c>
      <c r="V117" s="148"/>
      <c r="W117" s="148"/>
      <c r="X117" s="148"/>
      <c r="Y117" s="148"/>
      <c r="Z117" s="148"/>
      <c r="AA117" s="148"/>
      <c r="AB117" s="146">
        <f t="shared" ref="AB117:AB180" si="33">SUM(V117:AA117)</f>
        <v>0</v>
      </c>
      <c r="AC117" s="147">
        <f t="shared" ref="AC117:AC180" si="34">L117+P117+U117+AB117</f>
        <v>0</v>
      </c>
    </row>
    <row r="118" spans="1:29" ht="26.25">
      <c r="A118" s="145">
        <v>112</v>
      </c>
      <c r="B118" s="162" t="str">
        <f>DATA!A113</f>
        <v>Bút lông dầu Artline EK 100 đỏ</v>
      </c>
      <c r="C118" s="144" t="str">
        <f>DATA!B113</f>
        <v>cây</v>
      </c>
      <c r="D118" s="133">
        <f>DATA!C113</f>
        <v>41000</v>
      </c>
      <c r="E118" s="148"/>
      <c r="F118" s="148"/>
      <c r="G118" s="123"/>
      <c r="H118" s="123"/>
      <c r="I118" s="123"/>
      <c r="J118" s="123"/>
      <c r="K118" s="123"/>
      <c r="L118" s="127">
        <f t="shared" si="28"/>
        <v>0</v>
      </c>
      <c r="M118" s="123"/>
      <c r="N118" s="123"/>
      <c r="O118" s="123"/>
      <c r="P118" s="134">
        <f t="shared" si="29"/>
        <v>0</v>
      </c>
      <c r="Q118" s="123"/>
      <c r="R118" s="123"/>
      <c r="S118" s="123"/>
      <c r="T118" s="123"/>
      <c r="U118" s="135">
        <f t="shared" si="30"/>
        <v>0</v>
      </c>
      <c r="V118" s="123"/>
      <c r="W118" s="123"/>
      <c r="X118" s="123"/>
      <c r="Y118" s="123"/>
      <c r="Z118" s="123"/>
      <c r="AA118" s="123"/>
      <c r="AB118" s="146">
        <f t="shared" si="33"/>
        <v>0</v>
      </c>
      <c r="AC118" s="147">
        <f t="shared" si="34"/>
        <v>0</v>
      </c>
    </row>
    <row r="119" spans="1:29" ht="26.25">
      <c r="A119" s="145">
        <v>113</v>
      </c>
      <c r="B119" s="162" t="str">
        <f>DATA!A114</f>
        <v>Giấy gói quà</v>
      </c>
      <c r="C119" s="144" t="str">
        <f>DATA!B114</f>
        <v>tờ</v>
      </c>
      <c r="D119" s="133">
        <f>DATA!C114</f>
        <v>2600</v>
      </c>
      <c r="E119" s="148"/>
      <c r="F119" s="148"/>
      <c r="G119" s="123"/>
      <c r="H119" s="123"/>
      <c r="I119" s="123"/>
      <c r="J119" s="123"/>
      <c r="K119" s="123"/>
      <c r="L119" s="127">
        <f t="shared" si="28"/>
        <v>0</v>
      </c>
      <c r="M119" s="123"/>
      <c r="N119" s="123"/>
      <c r="O119" s="123"/>
      <c r="P119" s="134">
        <f t="shared" si="29"/>
        <v>0</v>
      </c>
      <c r="Q119" s="123"/>
      <c r="R119" s="123"/>
      <c r="S119" s="123"/>
      <c r="T119" s="123"/>
      <c r="U119" s="135">
        <f t="shared" si="30"/>
        <v>0</v>
      </c>
      <c r="V119" s="123"/>
      <c r="W119" s="123"/>
      <c r="X119" s="123"/>
      <c r="Y119" s="123"/>
      <c r="Z119" s="123"/>
      <c r="AA119" s="123"/>
      <c r="AB119" s="146">
        <f t="shared" si="33"/>
        <v>0</v>
      </c>
      <c r="AC119" s="147">
        <f t="shared" si="34"/>
        <v>0</v>
      </c>
    </row>
    <row r="120" spans="1:29" ht="26.25">
      <c r="A120" s="145">
        <v>114</v>
      </c>
      <c r="B120" s="162" t="str">
        <f>DATA!A115</f>
        <v>Dây thun</v>
      </c>
      <c r="C120" s="144" t="str">
        <f>DATA!B115</f>
        <v>bịch</v>
      </c>
      <c r="D120" s="133">
        <f>DATA!C115</f>
        <v>28500</v>
      </c>
      <c r="E120" s="148">
        <v>2</v>
      </c>
      <c r="F120" s="148"/>
      <c r="G120" s="123"/>
      <c r="H120" s="123"/>
      <c r="I120" s="123"/>
      <c r="J120" s="123"/>
      <c r="K120" s="123"/>
      <c r="L120" s="127">
        <f t="shared" si="28"/>
        <v>2</v>
      </c>
      <c r="M120" s="123"/>
      <c r="N120" s="123"/>
      <c r="O120" s="123"/>
      <c r="P120" s="134">
        <f t="shared" si="29"/>
        <v>0</v>
      </c>
      <c r="Q120" s="123"/>
      <c r="R120" s="123"/>
      <c r="S120" s="123"/>
      <c r="T120" s="123"/>
      <c r="U120" s="135">
        <f t="shared" si="30"/>
        <v>0</v>
      </c>
      <c r="V120" s="123"/>
      <c r="W120" s="123"/>
      <c r="X120" s="123"/>
      <c r="Y120" s="123"/>
      <c r="Z120" s="123"/>
      <c r="AA120" s="123"/>
      <c r="AB120" s="146">
        <f t="shared" si="33"/>
        <v>0</v>
      </c>
      <c r="AC120" s="147">
        <f t="shared" si="34"/>
        <v>2</v>
      </c>
    </row>
    <row r="121" spans="1:29" ht="26.25">
      <c r="A121" s="145">
        <v>115</v>
      </c>
      <c r="B121" s="162" t="str">
        <f>DATA!A116</f>
        <v>Khay 2 tầng mica</v>
      </c>
      <c r="C121" s="144" t="str">
        <f>DATA!B116</f>
        <v>bộ</v>
      </c>
      <c r="D121" s="133">
        <f>DATA!C116</f>
        <v>72000</v>
      </c>
      <c r="E121" s="148"/>
      <c r="F121" s="148"/>
      <c r="G121" s="123"/>
      <c r="H121" s="123"/>
      <c r="I121" s="123"/>
      <c r="J121" s="123"/>
      <c r="K121" s="123"/>
      <c r="L121" s="127">
        <f t="shared" si="28"/>
        <v>0</v>
      </c>
      <c r="M121" s="123"/>
      <c r="N121" s="123"/>
      <c r="O121" s="123"/>
      <c r="P121" s="134">
        <f t="shared" si="29"/>
        <v>0</v>
      </c>
      <c r="Q121" s="123"/>
      <c r="R121" s="123"/>
      <c r="S121" s="123"/>
      <c r="T121" s="123"/>
      <c r="U121" s="135">
        <f t="shared" si="30"/>
        <v>0</v>
      </c>
      <c r="V121" s="123"/>
      <c r="W121" s="123"/>
      <c r="X121" s="123"/>
      <c r="Y121" s="123"/>
      <c r="Z121" s="123"/>
      <c r="AA121" s="123"/>
      <c r="AB121" s="146">
        <f t="shared" si="33"/>
        <v>0</v>
      </c>
      <c r="AC121" s="147">
        <f t="shared" si="34"/>
        <v>0</v>
      </c>
    </row>
    <row r="122" spans="1:29" ht="26.25">
      <c r="A122" s="145">
        <v>116</v>
      </c>
      <c r="B122" s="162" t="str">
        <f>DATA!A117</f>
        <v>Khay 3 tầng mica</v>
      </c>
      <c r="C122" s="144" t="str">
        <f>DATA!B117</f>
        <v>bộ</v>
      </c>
      <c r="D122" s="133">
        <f>DATA!C117</f>
        <v>99000</v>
      </c>
      <c r="E122" s="148"/>
      <c r="F122" s="148"/>
      <c r="G122" s="123"/>
      <c r="H122" s="123"/>
      <c r="I122" s="123"/>
      <c r="J122" s="123"/>
      <c r="K122" s="123"/>
      <c r="L122" s="127">
        <f t="shared" si="28"/>
        <v>0</v>
      </c>
      <c r="M122" s="123"/>
      <c r="N122" s="123"/>
      <c r="O122" s="123"/>
      <c r="P122" s="134">
        <f t="shared" si="29"/>
        <v>0</v>
      </c>
      <c r="Q122" s="123"/>
      <c r="R122" s="123"/>
      <c r="S122" s="123"/>
      <c r="T122" s="123"/>
      <c r="U122" s="135">
        <f t="shared" si="30"/>
        <v>0</v>
      </c>
      <c r="V122" s="123"/>
      <c r="W122" s="123"/>
      <c r="X122" s="123"/>
      <c r="Y122" s="123"/>
      <c r="Z122" s="123"/>
      <c r="AA122" s="123"/>
      <c r="AB122" s="146">
        <f t="shared" si="33"/>
        <v>0</v>
      </c>
      <c r="AC122" s="147">
        <f t="shared" si="34"/>
        <v>0</v>
      </c>
    </row>
    <row r="123" spans="1:29" ht="26.25">
      <c r="A123" s="145">
        <v>117</v>
      </c>
      <c r="B123" s="162" t="str">
        <f>DATA!A118</f>
        <v>Nơ rút gói quà loại nhỏ</v>
      </c>
      <c r="C123" s="144" t="str">
        <f>DATA!B118</f>
        <v>cái</v>
      </c>
      <c r="D123" s="133">
        <f>DATA!C118</f>
        <v>2500</v>
      </c>
      <c r="E123" s="148"/>
      <c r="F123" s="148"/>
      <c r="G123" s="123"/>
      <c r="H123" s="123"/>
      <c r="I123" s="123"/>
      <c r="J123" s="123"/>
      <c r="K123" s="123"/>
      <c r="L123" s="127">
        <f t="shared" si="28"/>
        <v>0</v>
      </c>
      <c r="M123" s="123"/>
      <c r="N123" s="123"/>
      <c r="O123" s="123"/>
      <c r="P123" s="134">
        <f t="shared" si="29"/>
        <v>0</v>
      </c>
      <c r="Q123" s="123"/>
      <c r="R123" s="123"/>
      <c r="S123" s="123"/>
      <c r="T123" s="123"/>
      <c r="U123" s="135">
        <f t="shared" si="30"/>
        <v>0</v>
      </c>
      <c r="V123" s="123"/>
      <c r="W123" s="123"/>
      <c r="X123" s="123"/>
      <c r="Y123" s="123"/>
      <c r="Z123" s="123"/>
      <c r="AA123" s="123"/>
      <c r="AB123" s="146">
        <f t="shared" si="33"/>
        <v>0</v>
      </c>
      <c r="AC123" s="147">
        <f t="shared" si="34"/>
        <v>0</v>
      </c>
    </row>
    <row r="124" spans="1:29" ht="26.25">
      <c r="A124" s="145">
        <v>118</v>
      </c>
      <c r="B124" s="162" t="str">
        <f>DATA!A119</f>
        <v>Nơ rút gói quà loại trung</v>
      </c>
      <c r="C124" s="144" t="str">
        <f>DATA!B119</f>
        <v>cái</v>
      </c>
      <c r="D124" s="133">
        <f>DATA!C119</f>
        <v>2000</v>
      </c>
      <c r="E124" s="148"/>
      <c r="F124" s="148"/>
      <c r="G124" s="123"/>
      <c r="H124" s="123"/>
      <c r="I124" s="123"/>
      <c r="J124" s="123"/>
      <c r="K124" s="123"/>
      <c r="L124" s="127">
        <f t="shared" si="28"/>
        <v>0</v>
      </c>
      <c r="M124" s="123"/>
      <c r="N124" s="123"/>
      <c r="O124" s="123"/>
      <c r="P124" s="134">
        <f t="shared" si="29"/>
        <v>0</v>
      </c>
      <c r="Q124" s="123"/>
      <c r="R124" s="123"/>
      <c r="S124" s="123"/>
      <c r="T124" s="123"/>
      <c r="U124" s="135">
        <f t="shared" si="30"/>
        <v>0</v>
      </c>
      <c r="V124" s="123"/>
      <c r="W124" s="123"/>
      <c r="X124" s="123"/>
      <c r="Y124" s="123"/>
      <c r="Z124" s="123"/>
      <c r="AA124" s="123"/>
      <c r="AB124" s="146">
        <f t="shared" si="33"/>
        <v>0</v>
      </c>
      <c r="AC124" s="147">
        <f t="shared" si="34"/>
        <v>0</v>
      </c>
    </row>
    <row r="125" spans="1:29" ht="26.25">
      <c r="A125" s="145">
        <v>119</v>
      </c>
      <c r="B125" s="162" t="str">
        <f>DATA!A120</f>
        <v>Nơ rút gói quà loại lớn</v>
      </c>
      <c r="C125" s="144" t="str">
        <f>DATA!B120</f>
        <v>cái</v>
      </c>
      <c r="D125" s="133">
        <f>DATA!C120</f>
        <v>3500</v>
      </c>
      <c r="E125" s="148"/>
      <c r="F125" s="148"/>
      <c r="G125" s="123"/>
      <c r="H125" s="123"/>
      <c r="I125" s="123"/>
      <c r="J125" s="123"/>
      <c r="K125" s="123"/>
      <c r="L125" s="127">
        <f t="shared" si="28"/>
        <v>0</v>
      </c>
      <c r="M125" s="123"/>
      <c r="N125" s="123"/>
      <c r="O125" s="123"/>
      <c r="P125" s="134">
        <f t="shared" si="29"/>
        <v>0</v>
      </c>
      <c r="Q125" s="123"/>
      <c r="R125" s="123"/>
      <c r="S125" s="123"/>
      <c r="T125" s="123"/>
      <c r="U125" s="135">
        <f t="shared" si="30"/>
        <v>0</v>
      </c>
      <c r="V125" s="123"/>
      <c r="W125" s="123"/>
      <c r="X125" s="123"/>
      <c r="Y125" s="123"/>
      <c r="Z125" s="123"/>
      <c r="AA125" s="123"/>
      <c r="AB125" s="146">
        <f t="shared" si="33"/>
        <v>0</v>
      </c>
      <c r="AC125" s="147">
        <f t="shared" si="34"/>
        <v>0</v>
      </c>
    </row>
    <row r="126" spans="1:29" ht="26.25">
      <c r="A126" s="145">
        <v>120</v>
      </c>
      <c r="B126" s="162" t="str">
        <f>DATA!A121</f>
        <v>Giấy phân trang</v>
      </c>
      <c r="C126" s="144" t="str">
        <f>DATA!B121</f>
        <v>xấp</v>
      </c>
      <c r="D126" s="133">
        <f>DATA!C121</f>
        <v>8000</v>
      </c>
      <c r="E126" s="148"/>
      <c r="F126" s="148"/>
      <c r="G126" s="123"/>
      <c r="H126" s="123"/>
      <c r="I126" s="123"/>
      <c r="J126" s="123"/>
      <c r="K126" s="123"/>
      <c r="L126" s="127">
        <f t="shared" si="28"/>
        <v>0</v>
      </c>
      <c r="M126" s="123"/>
      <c r="N126" s="123"/>
      <c r="O126" s="123"/>
      <c r="P126" s="134">
        <f t="shared" si="29"/>
        <v>0</v>
      </c>
      <c r="Q126" s="123"/>
      <c r="R126" s="123"/>
      <c r="S126" s="123"/>
      <c r="T126" s="123"/>
      <c r="U126" s="135">
        <f t="shared" si="30"/>
        <v>0</v>
      </c>
      <c r="V126" s="123"/>
      <c r="W126" s="123"/>
      <c r="X126" s="123"/>
      <c r="Y126" s="123"/>
      <c r="Z126" s="123"/>
      <c r="AA126" s="123"/>
      <c r="AB126" s="146">
        <f t="shared" si="33"/>
        <v>0</v>
      </c>
      <c r="AC126" s="147">
        <f t="shared" si="34"/>
        <v>0</v>
      </c>
    </row>
    <row r="127" spans="1:29" ht="26.25">
      <c r="A127" s="145">
        <v>121</v>
      </c>
      <c r="B127" s="162" t="str">
        <f>DATA!A122</f>
        <v>Cây ghim giấy</v>
      </c>
      <c r="C127" s="144" t="str">
        <f>DATA!B122</f>
        <v>cây</v>
      </c>
      <c r="D127" s="133">
        <f>DATA!C122</f>
        <v>11000</v>
      </c>
      <c r="E127" s="148"/>
      <c r="F127" s="148"/>
      <c r="G127" s="123"/>
      <c r="H127" s="123"/>
      <c r="I127" s="123"/>
      <c r="J127" s="123"/>
      <c r="K127" s="123"/>
      <c r="L127" s="127">
        <f t="shared" si="28"/>
        <v>0</v>
      </c>
      <c r="M127" s="123"/>
      <c r="N127" s="123"/>
      <c r="O127" s="123"/>
      <c r="P127" s="134">
        <f t="shared" si="29"/>
        <v>0</v>
      </c>
      <c r="Q127" s="123"/>
      <c r="R127" s="123"/>
      <c r="S127" s="123"/>
      <c r="T127" s="123"/>
      <c r="U127" s="135">
        <f t="shared" si="30"/>
        <v>0</v>
      </c>
      <c r="V127" s="123"/>
      <c r="W127" s="123"/>
      <c r="X127" s="123"/>
      <c r="Y127" s="123"/>
      <c r="Z127" s="123"/>
      <c r="AA127" s="123"/>
      <c r="AB127" s="146">
        <f t="shared" si="33"/>
        <v>0</v>
      </c>
      <c r="AC127" s="147">
        <f t="shared" si="34"/>
        <v>0</v>
      </c>
    </row>
    <row r="128" spans="1:29" ht="26.25">
      <c r="A128" s="145">
        <v>122</v>
      </c>
      <c r="B128" s="162" t="str">
        <f>DATA!A123</f>
        <v>Lưỡi dao rọc giấy nhỏ (10 lưỡi)</v>
      </c>
      <c r="C128" s="144" t="str">
        <f>DATA!B123</f>
        <v>hộp</v>
      </c>
      <c r="D128" s="133">
        <f>DATA!C123</f>
        <v>6800</v>
      </c>
      <c r="E128" s="148"/>
      <c r="F128" s="148"/>
      <c r="G128" s="148">
        <v>1</v>
      </c>
      <c r="H128" s="123"/>
      <c r="I128" s="123"/>
      <c r="J128" s="123"/>
      <c r="K128" s="148">
        <v>1</v>
      </c>
      <c r="L128" s="127">
        <f t="shared" si="28"/>
        <v>2</v>
      </c>
      <c r="M128" s="123"/>
      <c r="N128" s="123"/>
      <c r="O128" s="123"/>
      <c r="P128" s="134">
        <f t="shared" si="29"/>
        <v>0</v>
      </c>
      <c r="Q128" s="123"/>
      <c r="R128" s="148">
        <v>1</v>
      </c>
      <c r="S128" s="123"/>
      <c r="T128" s="123"/>
      <c r="U128" s="135">
        <f t="shared" si="30"/>
        <v>1</v>
      </c>
      <c r="V128" s="123"/>
      <c r="W128" s="123"/>
      <c r="X128" s="123"/>
      <c r="Y128" s="123"/>
      <c r="Z128" s="123"/>
      <c r="AA128" s="123"/>
      <c r="AB128" s="146">
        <f t="shared" si="33"/>
        <v>0</v>
      </c>
      <c r="AC128" s="147">
        <f t="shared" si="34"/>
        <v>3</v>
      </c>
    </row>
    <row r="129" spans="1:29" ht="26.25">
      <c r="A129" s="145">
        <v>123</v>
      </c>
      <c r="B129" s="162" t="str">
        <f>DATA!A124</f>
        <v>Lưỡi dao rọc giấy lớn (10 lưỡi)</v>
      </c>
      <c r="C129" s="144" t="str">
        <f>DATA!B124</f>
        <v>hộp</v>
      </c>
      <c r="D129" s="133">
        <f>DATA!C124</f>
        <v>13800</v>
      </c>
      <c r="E129" s="148">
        <v>1</v>
      </c>
      <c r="F129" s="148"/>
      <c r="G129" s="123"/>
      <c r="H129" s="123"/>
      <c r="I129" s="148">
        <v>2</v>
      </c>
      <c r="J129" s="123"/>
      <c r="K129" s="123"/>
      <c r="L129" s="127">
        <f t="shared" si="28"/>
        <v>3</v>
      </c>
      <c r="M129" s="123"/>
      <c r="N129" s="123"/>
      <c r="O129" s="123"/>
      <c r="P129" s="134">
        <f t="shared" si="29"/>
        <v>0</v>
      </c>
      <c r="Q129" s="123"/>
      <c r="R129" s="123"/>
      <c r="S129" s="123"/>
      <c r="T129" s="123"/>
      <c r="U129" s="135">
        <f t="shared" si="30"/>
        <v>0</v>
      </c>
      <c r="V129" s="123"/>
      <c r="W129" s="123"/>
      <c r="X129" s="123"/>
      <c r="Y129" s="123"/>
      <c r="Z129" s="123"/>
      <c r="AA129" s="123"/>
      <c r="AB129" s="146">
        <f t="shared" si="33"/>
        <v>0</v>
      </c>
      <c r="AC129" s="147">
        <f t="shared" si="34"/>
        <v>3</v>
      </c>
    </row>
    <row r="130" spans="1:29" ht="26.25">
      <c r="A130" s="145">
        <v>124</v>
      </c>
      <c r="B130" s="162">
        <f>DATA!A125</f>
        <v>0</v>
      </c>
      <c r="C130" s="144">
        <f>DATA!B125</f>
        <v>0</v>
      </c>
      <c r="D130" s="133">
        <f>DATA!C125</f>
        <v>0</v>
      </c>
      <c r="E130" s="148"/>
      <c r="F130" s="148"/>
      <c r="G130" s="123"/>
      <c r="H130" s="123"/>
      <c r="I130" s="123"/>
      <c r="J130" s="123"/>
      <c r="K130" s="123"/>
      <c r="L130" s="127">
        <f t="shared" si="28"/>
        <v>0</v>
      </c>
      <c r="M130" s="123"/>
      <c r="N130" s="123"/>
      <c r="O130" s="123"/>
      <c r="P130" s="134">
        <f t="shared" si="29"/>
        <v>0</v>
      </c>
      <c r="Q130" s="123"/>
      <c r="R130" s="123"/>
      <c r="S130" s="123"/>
      <c r="T130" s="123"/>
      <c r="U130" s="135">
        <f t="shared" si="30"/>
        <v>0</v>
      </c>
      <c r="V130" s="123"/>
      <c r="W130" s="123"/>
      <c r="X130" s="123"/>
      <c r="Y130" s="123"/>
      <c r="Z130" s="123"/>
      <c r="AA130" s="123"/>
      <c r="AB130" s="146">
        <f t="shared" si="33"/>
        <v>0</v>
      </c>
      <c r="AC130" s="147">
        <f t="shared" si="34"/>
        <v>0</v>
      </c>
    </row>
    <row r="131" spans="1:29" ht="26.25">
      <c r="A131" s="145">
        <v>125</v>
      </c>
      <c r="B131" s="162">
        <f>DATA!A126</f>
        <v>0</v>
      </c>
      <c r="C131" s="144">
        <f>DATA!B126</f>
        <v>0</v>
      </c>
      <c r="D131" s="133">
        <f>DATA!C126</f>
        <v>0</v>
      </c>
      <c r="E131" s="148"/>
      <c r="F131" s="148"/>
      <c r="G131" s="123"/>
      <c r="H131" s="123"/>
      <c r="I131" s="123"/>
      <c r="J131" s="123"/>
      <c r="K131" s="123"/>
      <c r="L131" s="127">
        <f t="shared" si="28"/>
        <v>0</v>
      </c>
      <c r="M131" s="123"/>
      <c r="N131" s="123"/>
      <c r="O131" s="123"/>
      <c r="P131" s="134">
        <f t="shared" si="29"/>
        <v>0</v>
      </c>
      <c r="Q131" s="123"/>
      <c r="R131" s="123"/>
      <c r="S131" s="123"/>
      <c r="T131" s="123"/>
      <c r="U131" s="135">
        <f t="shared" si="30"/>
        <v>0</v>
      </c>
      <c r="V131" s="123"/>
      <c r="W131" s="123"/>
      <c r="X131" s="123"/>
      <c r="Y131" s="123"/>
      <c r="Z131" s="123"/>
      <c r="AA131" s="123"/>
      <c r="AB131" s="146">
        <f t="shared" si="33"/>
        <v>0</v>
      </c>
      <c r="AC131" s="147">
        <f t="shared" si="34"/>
        <v>0</v>
      </c>
    </row>
    <row r="132" spans="1:29" ht="26.25">
      <c r="A132" s="145">
        <v>126</v>
      </c>
      <c r="B132" s="162">
        <f>DATA!A127</f>
        <v>0</v>
      </c>
      <c r="C132" s="144">
        <f>DATA!B127</f>
        <v>0</v>
      </c>
      <c r="D132" s="133">
        <f>DATA!C127</f>
        <v>0</v>
      </c>
      <c r="E132" s="148"/>
      <c r="F132" s="148"/>
      <c r="G132" s="123"/>
      <c r="H132" s="123"/>
      <c r="I132" s="123"/>
      <c r="J132" s="123"/>
      <c r="K132" s="123"/>
      <c r="L132" s="127">
        <f t="shared" si="28"/>
        <v>0</v>
      </c>
      <c r="M132" s="123"/>
      <c r="N132" s="123"/>
      <c r="O132" s="123"/>
      <c r="P132" s="134">
        <f t="shared" si="29"/>
        <v>0</v>
      </c>
      <c r="Q132" s="123"/>
      <c r="R132" s="123"/>
      <c r="S132" s="123"/>
      <c r="T132" s="123"/>
      <c r="U132" s="135">
        <f t="shared" si="30"/>
        <v>0</v>
      </c>
      <c r="V132" s="123"/>
      <c r="W132" s="123"/>
      <c r="X132" s="123"/>
      <c r="Y132" s="123"/>
      <c r="Z132" s="123"/>
      <c r="AA132" s="123"/>
      <c r="AB132" s="146">
        <f t="shared" si="33"/>
        <v>0</v>
      </c>
      <c r="AC132" s="147">
        <f t="shared" si="34"/>
        <v>0</v>
      </c>
    </row>
    <row r="133" spans="1:29" ht="26.25">
      <c r="A133" s="145">
        <v>127</v>
      </c>
      <c r="B133" s="162">
        <f>DATA!A128</f>
        <v>0</v>
      </c>
      <c r="C133" s="144">
        <f>DATA!B128</f>
        <v>0</v>
      </c>
      <c r="D133" s="133">
        <f>DATA!C128</f>
        <v>0</v>
      </c>
      <c r="E133" s="148"/>
      <c r="F133" s="148"/>
      <c r="G133" s="123"/>
      <c r="H133" s="123"/>
      <c r="I133" s="123"/>
      <c r="J133" s="123"/>
      <c r="K133" s="123"/>
      <c r="L133" s="127">
        <f t="shared" si="28"/>
        <v>0</v>
      </c>
      <c r="M133" s="123"/>
      <c r="N133" s="123"/>
      <c r="O133" s="123"/>
      <c r="P133" s="134">
        <f t="shared" si="29"/>
        <v>0</v>
      </c>
      <c r="Q133" s="123"/>
      <c r="R133" s="123"/>
      <c r="S133" s="123"/>
      <c r="T133" s="123"/>
      <c r="U133" s="135">
        <f t="shared" si="30"/>
        <v>0</v>
      </c>
      <c r="V133" s="123"/>
      <c r="W133" s="123"/>
      <c r="X133" s="123"/>
      <c r="Y133" s="123"/>
      <c r="Z133" s="123"/>
      <c r="AA133" s="123"/>
      <c r="AB133" s="146">
        <f t="shared" si="33"/>
        <v>0</v>
      </c>
      <c r="AC133" s="147">
        <f t="shared" si="34"/>
        <v>0</v>
      </c>
    </row>
    <row r="134" spans="1:29" ht="26.25">
      <c r="A134" s="145">
        <v>128</v>
      </c>
      <c r="B134" s="162">
        <f>DATA!A129</f>
        <v>0</v>
      </c>
      <c r="C134" s="144">
        <f>DATA!B129</f>
        <v>0</v>
      </c>
      <c r="D134" s="133">
        <f>DATA!C129</f>
        <v>0</v>
      </c>
      <c r="E134" s="148"/>
      <c r="F134" s="148"/>
      <c r="G134" s="123"/>
      <c r="H134" s="123"/>
      <c r="I134" s="123"/>
      <c r="J134" s="123"/>
      <c r="K134" s="123"/>
      <c r="L134" s="127">
        <f t="shared" si="28"/>
        <v>0</v>
      </c>
      <c r="M134" s="123"/>
      <c r="N134" s="123"/>
      <c r="O134" s="123"/>
      <c r="P134" s="134">
        <f t="shared" si="29"/>
        <v>0</v>
      </c>
      <c r="Q134" s="123"/>
      <c r="R134" s="123"/>
      <c r="S134" s="123"/>
      <c r="T134" s="123"/>
      <c r="U134" s="135">
        <f t="shared" si="30"/>
        <v>0</v>
      </c>
      <c r="V134" s="123"/>
      <c r="W134" s="123"/>
      <c r="X134" s="123"/>
      <c r="Y134" s="123"/>
      <c r="Z134" s="123"/>
      <c r="AA134" s="123"/>
      <c r="AB134" s="146">
        <f t="shared" si="33"/>
        <v>0</v>
      </c>
      <c r="AC134" s="147">
        <f t="shared" si="34"/>
        <v>0</v>
      </c>
    </row>
    <row r="135" spans="1:29" ht="26.25">
      <c r="A135" s="145">
        <v>129</v>
      </c>
      <c r="B135" s="162">
        <f>DATA!A130</f>
        <v>0</v>
      </c>
      <c r="C135" s="144">
        <f>DATA!B130</f>
        <v>0</v>
      </c>
      <c r="D135" s="133">
        <f>DATA!C130</f>
        <v>0</v>
      </c>
      <c r="E135" s="148"/>
      <c r="F135" s="148"/>
      <c r="G135" s="123"/>
      <c r="H135" s="123"/>
      <c r="I135" s="123"/>
      <c r="J135" s="123"/>
      <c r="K135" s="123"/>
      <c r="L135" s="127">
        <f t="shared" si="28"/>
        <v>0</v>
      </c>
      <c r="M135" s="123"/>
      <c r="N135" s="123"/>
      <c r="O135" s="123"/>
      <c r="P135" s="134">
        <f t="shared" si="29"/>
        <v>0</v>
      </c>
      <c r="Q135" s="123"/>
      <c r="R135" s="123"/>
      <c r="S135" s="123"/>
      <c r="T135" s="123"/>
      <c r="U135" s="135">
        <f t="shared" si="30"/>
        <v>0</v>
      </c>
      <c r="V135" s="123"/>
      <c r="W135" s="123"/>
      <c r="X135" s="123"/>
      <c r="Y135" s="123"/>
      <c r="Z135" s="123"/>
      <c r="AA135" s="123"/>
      <c r="AB135" s="146">
        <f t="shared" si="33"/>
        <v>0</v>
      </c>
      <c r="AC135" s="147">
        <f t="shared" si="34"/>
        <v>0</v>
      </c>
    </row>
    <row r="136" spans="1:29" ht="26.25">
      <c r="A136" s="145">
        <v>130</v>
      </c>
      <c r="B136" s="162">
        <f>DATA!A131</f>
        <v>0</v>
      </c>
      <c r="C136" s="144">
        <f>DATA!B131</f>
        <v>0</v>
      </c>
      <c r="D136" s="133">
        <f>DATA!C131</f>
        <v>0</v>
      </c>
      <c r="E136" s="148"/>
      <c r="F136" s="148"/>
      <c r="G136" s="123"/>
      <c r="H136" s="123"/>
      <c r="I136" s="123"/>
      <c r="J136" s="123"/>
      <c r="K136" s="123"/>
      <c r="L136" s="127">
        <f t="shared" si="28"/>
        <v>0</v>
      </c>
      <c r="M136" s="123"/>
      <c r="N136" s="123"/>
      <c r="O136" s="123"/>
      <c r="P136" s="134">
        <f t="shared" si="29"/>
        <v>0</v>
      </c>
      <c r="Q136" s="123"/>
      <c r="R136" s="123"/>
      <c r="S136" s="123"/>
      <c r="T136" s="123"/>
      <c r="U136" s="135">
        <f t="shared" si="30"/>
        <v>0</v>
      </c>
      <c r="V136" s="123"/>
      <c r="W136" s="123"/>
      <c r="X136" s="123"/>
      <c r="Y136" s="123"/>
      <c r="Z136" s="123"/>
      <c r="AA136" s="123"/>
      <c r="AB136" s="146">
        <f t="shared" si="33"/>
        <v>0</v>
      </c>
      <c r="AC136" s="147">
        <f t="shared" si="34"/>
        <v>0</v>
      </c>
    </row>
    <row r="137" spans="1:29" ht="26.25">
      <c r="A137" s="145">
        <v>131</v>
      </c>
      <c r="B137" s="162">
        <f>DATA!A132</f>
        <v>0</v>
      </c>
      <c r="C137" s="144">
        <f>DATA!B132</f>
        <v>0</v>
      </c>
      <c r="D137" s="133">
        <f>DATA!C132</f>
        <v>0</v>
      </c>
      <c r="E137" s="148"/>
      <c r="F137" s="148"/>
      <c r="G137" s="123"/>
      <c r="H137" s="123"/>
      <c r="I137" s="123"/>
      <c r="J137" s="123"/>
      <c r="K137" s="123"/>
      <c r="L137" s="127">
        <f t="shared" si="28"/>
        <v>0</v>
      </c>
      <c r="M137" s="123"/>
      <c r="N137" s="123"/>
      <c r="O137" s="123"/>
      <c r="P137" s="134">
        <f t="shared" si="29"/>
        <v>0</v>
      </c>
      <c r="Q137" s="123"/>
      <c r="R137" s="123"/>
      <c r="S137" s="123"/>
      <c r="T137" s="123"/>
      <c r="U137" s="135">
        <f t="shared" si="30"/>
        <v>0</v>
      </c>
      <c r="V137" s="123"/>
      <c r="W137" s="123"/>
      <c r="X137" s="123"/>
      <c r="Y137" s="123"/>
      <c r="Z137" s="123"/>
      <c r="AA137" s="123"/>
      <c r="AB137" s="146">
        <f t="shared" si="33"/>
        <v>0</v>
      </c>
      <c r="AC137" s="147">
        <f t="shared" si="34"/>
        <v>0</v>
      </c>
    </row>
    <row r="138" spans="1:29" ht="26.25">
      <c r="A138" s="145">
        <v>132</v>
      </c>
      <c r="B138" s="162">
        <f>DATA!A133</f>
        <v>0</v>
      </c>
      <c r="C138" s="144">
        <f>DATA!B133</f>
        <v>0</v>
      </c>
      <c r="D138" s="133">
        <f>DATA!C133</f>
        <v>0</v>
      </c>
      <c r="E138" s="148"/>
      <c r="F138" s="148"/>
      <c r="G138" s="123"/>
      <c r="H138" s="123"/>
      <c r="I138" s="123"/>
      <c r="J138" s="123"/>
      <c r="K138" s="123"/>
      <c r="L138" s="127">
        <f t="shared" si="28"/>
        <v>0</v>
      </c>
      <c r="M138" s="123"/>
      <c r="N138" s="123"/>
      <c r="O138" s="123"/>
      <c r="P138" s="134">
        <f t="shared" si="29"/>
        <v>0</v>
      </c>
      <c r="Q138" s="123"/>
      <c r="R138" s="123"/>
      <c r="S138" s="123"/>
      <c r="T138" s="123"/>
      <c r="U138" s="135">
        <f t="shared" si="30"/>
        <v>0</v>
      </c>
      <c r="V138" s="123"/>
      <c r="W138" s="123"/>
      <c r="X138" s="123"/>
      <c r="Y138" s="123"/>
      <c r="Z138" s="123"/>
      <c r="AA138" s="123"/>
      <c r="AB138" s="146">
        <f t="shared" si="33"/>
        <v>0</v>
      </c>
      <c r="AC138" s="147">
        <f t="shared" si="34"/>
        <v>0</v>
      </c>
    </row>
    <row r="139" spans="1:29" ht="26.25">
      <c r="A139" s="145">
        <v>133</v>
      </c>
      <c r="B139" s="162">
        <f>DATA!A134</f>
        <v>0</v>
      </c>
      <c r="C139" s="144">
        <f>DATA!B134</f>
        <v>0</v>
      </c>
      <c r="D139" s="133">
        <f>DATA!C134</f>
        <v>0</v>
      </c>
      <c r="E139" s="148"/>
      <c r="F139" s="148"/>
      <c r="G139" s="123"/>
      <c r="H139" s="123"/>
      <c r="I139" s="123"/>
      <c r="J139" s="123"/>
      <c r="K139" s="123"/>
      <c r="L139" s="127">
        <f t="shared" si="28"/>
        <v>0</v>
      </c>
      <c r="M139" s="123"/>
      <c r="N139" s="123"/>
      <c r="O139" s="123"/>
      <c r="P139" s="134">
        <f t="shared" si="29"/>
        <v>0</v>
      </c>
      <c r="Q139" s="123"/>
      <c r="R139" s="123"/>
      <c r="S139" s="123"/>
      <c r="T139" s="123"/>
      <c r="U139" s="135">
        <f t="shared" si="30"/>
        <v>0</v>
      </c>
      <c r="V139" s="123"/>
      <c r="W139" s="123"/>
      <c r="X139" s="123"/>
      <c r="Y139" s="123"/>
      <c r="Z139" s="123"/>
      <c r="AA139" s="123"/>
      <c r="AB139" s="146">
        <f t="shared" si="33"/>
        <v>0</v>
      </c>
      <c r="AC139" s="147">
        <f t="shared" si="34"/>
        <v>0</v>
      </c>
    </row>
    <row r="140" spans="1:29" ht="26.25">
      <c r="A140" s="145">
        <v>134</v>
      </c>
      <c r="B140" s="162">
        <f>DATA!A135</f>
        <v>0</v>
      </c>
      <c r="C140" s="144">
        <f>DATA!B135</f>
        <v>0</v>
      </c>
      <c r="D140" s="133">
        <f>DATA!C135</f>
        <v>0</v>
      </c>
      <c r="E140" s="148"/>
      <c r="F140" s="148"/>
      <c r="G140" s="123"/>
      <c r="H140" s="123"/>
      <c r="I140" s="123"/>
      <c r="J140" s="123"/>
      <c r="K140" s="123"/>
      <c r="L140" s="127">
        <f t="shared" si="28"/>
        <v>0</v>
      </c>
      <c r="M140" s="123"/>
      <c r="N140" s="123"/>
      <c r="O140" s="123"/>
      <c r="P140" s="134">
        <f t="shared" si="29"/>
        <v>0</v>
      </c>
      <c r="Q140" s="123"/>
      <c r="R140" s="123"/>
      <c r="S140" s="123"/>
      <c r="T140" s="123"/>
      <c r="U140" s="135">
        <f t="shared" si="30"/>
        <v>0</v>
      </c>
      <c r="V140" s="123"/>
      <c r="W140" s="123"/>
      <c r="X140" s="123"/>
      <c r="Y140" s="123"/>
      <c r="Z140" s="123"/>
      <c r="AA140" s="123"/>
      <c r="AB140" s="146">
        <f t="shared" si="33"/>
        <v>0</v>
      </c>
      <c r="AC140" s="147">
        <f t="shared" si="34"/>
        <v>0</v>
      </c>
    </row>
    <row r="141" spans="1:29" ht="26.25">
      <c r="A141" s="145">
        <v>135</v>
      </c>
      <c r="B141" s="162">
        <f>DATA!A136</f>
        <v>0</v>
      </c>
      <c r="C141" s="144">
        <f>DATA!B136</f>
        <v>0</v>
      </c>
      <c r="D141" s="133">
        <f>DATA!C136</f>
        <v>0</v>
      </c>
      <c r="E141" s="148"/>
      <c r="F141" s="148"/>
      <c r="G141" s="123"/>
      <c r="H141" s="123"/>
      <c r="I141" s="123"/>
      <c r="J141" s="123"/>
      <c r="K141" s="123"/>
      <c r="L141" s="127">
        <f t="shared" si="28"/>
        <v>0</v>
      </c>
      <c r="M141" s="123"/>
      <c r="N141" s="123"/>
      <c r="O141" s="123"/>
      <c r="P141" s="134">
        <f t="shared" si="29"/>
        <v>0</v>
      </c>
      <c r="Q141" s="123"/>
      <c r="R141" s="123"/>
      <c r="S141" s="123"/>
      <c r="T141" s="123"/>
      <c r="U141" s="135">
        <f t="shared" si="30"/>
        <v>0</v>
      </c>
      <c r="V141" s="123"/>
      <c r="W141" s="123"/>
      <c r="X141" s="123"/>
      <c r="Y141" s="123"/>
      <c r="Z141" s="123"/>
      <c r="AA141" s="123"/>
      <c r="AB141" s="146">
        <f t="shared" si="33"/>
        <v>0</v>
      </c>
      <c r="AC141" s="147">
        <f t="shared" si="34"/>
        <v>0</v>
      </c>
    </row>
    <row r="142" spans="1:29" ht="26.25">
      <c r="A142" s="145">
        <v>136</v>
      </c>
      <c r="B142" s="162">
        <f>DATA!A137</f>
        <v>0</v>
      </c>
      <c r="C142" s="144">
        <f>DATA!B137</f>
        <v>0</v>
      </c>
      <c r="D142" s="133">
        <f>DATA!C137</f>
        <v>0</v>
      </c>
      <c r="E142" s="148"/>
      <c r="F142" s="148"/>
      <c r="G142" s="123"/>
      <c r="H142" s="123"/>
      <c r="I142" s="123"/>
      <c r="J142" s="123"/>
      <c r="K142" s="123"/>
      <c r="L142" s="127">
        <f t="shared" si="28"/>
        <v>0</v>
      </c>
      <c r="M142" s="123"/>
      <c r="N142" s="123"/>
      <c r="O142" s="123"/>
      <c r="P142" s="134">
        <f t="shared" si="29"/>
        <v>0</v>
      </c>
      <c r="Q142" s="123"/>
      <c r="R142" s="123"/>
      <c r="S142" s="123"/>
      <c r="T142" s="123"/>
      <c r="U142" s="135">
        <f t="shared" si="30"/>
        <v>0</v>
      </c>
      <c r="V142" s="123"/>
      <c r="W142" s="123"/>
      <c r="X142" s="123"/>
      <c r="Y142" s="123"/>
      <c r="Z142" s="123"/>
      <c r="AA142" s="123"/>
      <c r="AB142" s="146">
        <f t="shared" si="33"/>
        <v>0</v>
      </c>
      <c r="AC142" s="147">
        <f t="shared" si="34"/>
        <v>0</v>
      </c>
    </row>
    <row r="143" spans="1:29" ht="26.25">
      <c r="A143" s="145">
        <v>137</v>
      </c>
      <c r="B143" s="162">
        <f>DATA!A138</f>
        <v>0</v>
      </c>
      <c r="C143" s="144">
        <f>DATA!B138</f>
        <v>0</v>
      </c>
      <c r="D143" s="133">
        <f>DATA!C138</f>
        <v>0</v>
      </c>
      <c r="E143" s="148"/>
      <c r="F143" s="148"/>
      <c r="G143" s="123"/>
      <c r="H143" s="123"/>
      <c r="I143" s="123"/>
      <c r="J143" s="123"/>
      <c r="K143" s="123"/>
      <c r="L143" s="127">
        <f t="shared" si="28"/>
        <v>0</v>
      </c>
      <c r="M143" s="123"/>
      <c r="N143" s="123"/>
      <c r="O143" s="123"/>
      <c r="P143" s="134">
        <f t="shared" si="29"/>
        <v>0</v>
      </c>
      <c r="Q143" s="123"/>
      <c r="R143" s="123"/>
      <c r="S143" s="123"/>
      <c r="T143" s="123"/>
      <c r="U143" s="135">
        <f t="shared" si="30"/>
        <v>0</v>
      </c>
      <c r="V143" s="123"/>
      <c r="W143" s="123"/>
      <c r="X143" s="123"/>
      <c r="Y143" s="123"/>
      <c r="Z143" s="123"/>
      <c r="AA143" s="123"/>
      <c r="AB143" s="146">
        <f t="shared" si="33"/>
        <v>0</v>
      </c>
      <c r="AC143" s="147">
        <f t="shared" si="34"/>
        <v>0</v>
      </c>
    </row>
    <row r="144" spans="1:29" ht="26.25">
      <c r="A144" s="145">
        <v>138</v>
      </c>
      <c r="B144" s="162">
        <f>DATA!A139</f>
        <v>0</v>
      </c>
      <c r="C144" s="144">
        <f>DATA!B139</f>
        <v>0</v>
      </c>
      <c r="D144" s="133">
        <f>DATA!C139</f>
        <v>0</v>
      </c>
      <c r="E144" s="148"/>
      <c r="F144" s="148"/>
      <c r="G144" s="123"/>
      <c r="H144" s="123"/>
      <c r="I144" s="123"/>
      <c r="J144" s="123"/>
      <c r="K144" s="123"/>
      <c r="L144" s="127">
        <f t="shared" si="28"/>
        <v>0</v>
      </c>
      <c r="M144" s="123"/>
      <c r="N144" s="123"/>
      <c r="O144" s="123"/>
      <c r="P144" s="134">
        <f t="shared" si="29"/>
        <v>0</v>
      </c>
      <c r="Q144" s="123"/>
      <c r="R144" s="123"/>
      <c r="S144" s="123"/>
      <c r="T144" s="123"/>
      <c r="U144" s="135">
        <f t="shared" si="30"/>
        <v>0</v>
      </c>
      <c r="V144" s="123"/>
      <c r="W144" s="123"/>
      <c r="X144" s="123"/>
      <c r="Y144" s="123"/>
      <c r="Z144" s="123"/>
      <c r="AA144" s="123"/>
      <c r="AB144" s="146">
        <f t="shared" si="33"/>
        <v>0</v>
      </c>
      <c r="AC144" s="147">
        <f t="shared" si="34"/>
        <v>0</v>
      </c>
    </row>
    <row r="145" spans="1:29" ht="26.25">
      <c r="A145" s="145">
        <v>139</v>
      </c>
      <c r="B145" s="162">
        <f>DATA!A140</f>
        <v>0</v>
      </c>
      <c r="C145" s="144">
        <f>DATA!B140</f>
        <v>0</v>
      </c>
      <c r="D145" s="133">
        <f>DATA!C140</f>
        <v>0</v>
      </c>
      <c r="E145" s="148"/>
      <c r="F145" s="148"/>
      <c r="G145" s="123"/>
      <c r="H145" s="123"/>
      <c r="I145" s="123"/>
      <c r="J145" s="123"/>
      <c r="K145" s="123"/>
      <c r="L145" s="127">
        <f t="shared" si="28"/>
        <v>0</v>
      </c>
      <c r="M145" s="123"/>
      <c r="N145" s="123"/>
      <c r="O145" s="123"/>
      <c r="P145" s="134">
        <f t="shared" si="29"/>
        <v>0</v>
      </c>
      <c r="Q145" s="123"/>
      <c r="R145" s="123"/>
      <c r="S145" s="123"/>
      <c r="T145" s="123"/>
      <c r="U145" s="135">
        <f t="shared" si="30"/>
        <v>0</v>
      </c>
      <c r="V145" s="123"/>
      <c r="W145" s="123"/>
      <c r="X145" s="123"/>
      <c r="Y145" s="123"/>
      <c r="Z145" s="123"/>
      <c r="AA145" s="123"/>
      <c r="AB145" s="146">
        <f t="shared" si="33"/>
        <v>0</v>
      </c>
      <c r="AC145" s="147">
        <f t="shared" si="34"/>
        <v>0</v>
      </c>
    </row>
    <row r="146" spans="1:29" ht="26.25">
      <c r="A146" s="145">
        <v>140</v>
      </c>
      <c r="B146" s="162">
        <f>DATA!A141</f>
        <v>0</v>
      </c>
      <c r="C146" s="144">
        <f>DATA!B141</f>
        <v>0</v>
      </c>
      <c r="D146" s="133">
        <f>DATA!C141</f>
        <v>0</v>
      </c>
      <c r="E146" s="148"/>
      <c r="F146" s="148"/>
      <c r="G146" s="123"/>
      <c r="H146" s="123"/>
      <c r="I146" s="123"/>
      <c r="J146" s="123"/>
      <c r="K146" s="123"/>
      <c r="L146" s="127">
        <f t="shared" si="28"/>
        <v>0</v>
      </c>
      <c r="M146" s="123"/>
      <c r="N146" s="123"/>
      <c r="O146" s="123"/>
      <c r="P146" s="134">
        <f t="shared" si="29"/>
        <v>0</v>
      </c>
      <c r="Q146" s="123"/>
      <c r="R146" s="123"/>
      <c r="S146" s="123"/>
      <c r="T146" s="123"/>
      <c r="U146" s="135">
        <f t="shared" si="30"/>
        <v>0</v>
      </c>
      <c r="V146" s="123"/>
      <c r="W146" s="123"/>
      <c r="X146" s="123"/>
      <c r="Y146" s="123"/>
      <c r="Z146" s="123"/>
      <c r="AA146" s="123"/>
      <c r="AB146" s="146">
        <f t="shared" si="33"/>
        <v>0</v>
      </c>
      <c r="AC146" s="147">
        <f t="shared" si="34"/>
        <v>0</v>
      </c>
    </row>
    <row r="147" spans="1:29" ht="26.25">
      <c r="A147" s="145">
        <v>141</v>
      </c>
      <c r="B147" s="162">
        <f>DATA!A142</f>
        <v>0</v>
      </c>
      <c r="C147" s="144">
        <f>DATA!B142</f>
        <v>0</v>
      </c>
      <c r="D147" s="133">
        <f>DATA!C142</f>
        <v>0</v>
      </c>
      <c r="E147" s="148"/>
      <c r="F147" s="148"/>
      <c r="G147" s="123"/>
      <c r="H147" s="123"/>
      <c r="I147" s="123"/>
      <c r="J147" s="123"/>
      <c r="K147" s="123"/>
      <c r="L147" s="127">
        <f t="shared" si="28"/>
        <v>0</v>
      </c>
      <c r="M147" s="123"/>
      <c r="N147" s="123"/>
      <c r="O147" s="123"/>
      <c r="P147" s="134">
        <f t="shared" si="29"/>
        <v>0</v>
      </c>
      <c r="Q147" s="123"/>
      <c r="R147" s="123"/>
      <c r="S147" s="123"/>
      <c r="T147" s="123"/>
      <c r="U147" s="135">
        <f t="shared" si="30"/>
        <v>0</v>
      </c>
      <c r="V147" s="123"/>
      <c r="W147" s="123"/>
      <c r="X147" s="123"/>
      <c r="Y147" s="123"/>
      <c r="Z147" s="123"/>
      <c r="AA147" s="123"/>
      <c r="AB147" s="146">
        <f t="shared" si="33"/>
        <v>0</v>
      </c>
      <c r="AC147" s="147">
        <f t="shared" si="34"/>
        <v>0</v>
      </c>
    </row>
    <row r="148" spans="1:29" ht="26.25">
      <c r="A148" s="145">
        <v>142</v>
      </c>
      <c r="B148" s="162">
        <f>DATA!A143</f>
        <v>0</v>
      </c>
      <c r="C148" s="144">
        <f>DATA!B143</f>
        <v>0</v>
      </c>
      <c r="D148" s="133">
        <f>DATA!C143</f>
        <v>0</v>
      </c>
      <c r="E148" s="148"/>
      <c r="F148" s="148"/>
      <c r="G148" s="123"/>
      <c r="H148" s="123"/>
      <c r="I148" s="123"/>
      <c r="J148" s="123"/>
      <c r="K148" s="123"/>
      <c r="L148" s="127">
        <f t="shared" si="28"/>
        <v>0</v>
      </c>
      <c r="M148" s="123"/>
      <c r="N148" s="123"/>
      <c r="O148" s="123"/>
      <c r="P148" s="134">
        <f t="shared" si="29"/>
        <v>0</v>
      </c>
      <c r="Q148" s="123"/>
      <c r="R148" s="123"/>
      <c r="S148" s="123"/>
      <c r="T148" s="123"/>
      <c r="U148" s="135">
        <f t="shared" si="30"/>
        <v>0</v>
      </c>
      <c r="V148" s="123"/>
      <c r="W148" s="123"/>
      <c r="X148" s="123"/>
      <c r="Y148" s="123"/>
      <c r="Z148" s="123"/>
      <c r="AA148" s="123"/>
      <c r="AB148" s="146">
        <f t="shared" si="33"/>
        <v>0</v>
      </c>
      <c r="AC148" s="147">
        <f t="shared" si="34"/>
        <v>0</v>
      </c>
    </row>
    <row r="149" spans="1:29" ht="26.25">
      <c r="A149" s="145">
        <v>143</v>
      </c>
      <c r="B149" s="162">
        <f>DATA!A144</f>
        <v>0</v>
      </c>
      <c r="C149" s="144">
        <f>DATA!B144</f>
        <v>0</v>
      </c>
      <c r="D149" s="133">
        <f>DATA!C144</f>
        <v>0</v>
      </c>
      <c r="E149" s="148"/>
      <c r="F149" s="148"/>
      <c r="G149" s="123"/>
      <c r="H149" s="123"/>
      <c r="I149" s="123"/>
      <c r="J149" s="123"/>
      <c r="K149" s="123"/>
      <c r="L149" s="127">
        <f t="shared" si="28"/>
        <v>0</v>
      </c>
      <c r="M149" s="123"/>
      <c r="N149" s="123"/>
      <c r="O149" s="123"/>
      <c r="P149" s="134">
        <f t="shared" si="29"/>
        <v>0</v>
      </c>
      <c r="Q149" s="123"/>
      <c r="R149" s="123"/>
      <c r="S149" s="123"/>
      <c r="T149" s="123"/>
      <c r="U149" s="135">
        <f t="shared" si="30"/>
        <v>0</v>
      </c>
      <c r="V149" s="123"/>
      <c r="W149" s="123"/>
      <c r="X149" s="123"/>
      <c r="Y149" s="123"/>
      <c r="Z149" s="123"/>
      <c r="AA149" s="123"/>
      <c r="AB149" s="146">
        <f t="shared" si="33"/>
        <v>0</v>
      </c>
      <c r="AC149" s="147">
        <f t="shared" si="34"/>
        <v>0</v>
      </c>
    </row>
    <row r="150" spans="1:29" ht="26.25">
      <c r="A150" s="145">
        <v>144</v>
      </c>
      <c r="B150" s="162">
        <f>DATA!A145</f>
        <v>0</v>
      </c>
      <c r="C150" s="144">
        <f>DATA!B145</f>
        <v>0</v>
      </c>
      <c r="D150" s="133">
        <f>DATA!C145</f>
        <v>0</v>
      </c>
      <c r="E150" s="148"/>
      <c r="F150" s="148"/>
      <c r="G150" s="123"/>
      <c r="H150" s="123"/>
      <c r="I150" s="123"/>
      <c r="J150" s="123"/>
      <c r="K150" s="123"/>
      <c r="L150" s="127">
        <f t="shared" si="28"/>
        <v>0</v>
      </c>
      <c r="M150" s="123"/>
      <c r="N150" s="123"/>
      <c r="O150" s="123"/>
      <c r="P150" s="134">
        <f t="shared" si="29"/>
        <v>0</v>
      </c>
      <c r="Q150" s="123"/>
      <c r="R150" s="123"/>
      <c r="S150" s="123"/>
      <c r="T150" s="123"/>
      <c r="U150" s="135">
        <f t="shared" si="30"/>
        <v>0</v>
      </c>
      <c r="V150" s="123"/>
      <c r="W150" s="123"/>
      <c r="X150" s="123"/>
      <c r="Y150" s="123"/>
      <c r="Z150" s="123"/>
      <c r="AA150" s="123"/>
      <c r="AB150" s="146">
        <f t="shared" si="33"/>
        <v>0</v>
      </c>
      <c r="AC150" s="147">
        <f t="shared" si="34"/>
        <v>0</v>
      </c>
    </row>
    <row r="151" spans="1:29" ht="26.25">
      <c r="A151" s="145">
        <v>145</v>
      </c>
      <c r="B151" s="162">
        <f>DATA!A146</f>
        <v>0</v>
      </c>
      <c r="C151" s="144">
        <f>DATA!B146</f>
        <v>0</v>
      </c>
      <c r="D151" s="133">
        <f>DATA!C146</f>
        <v>0</v>
      </c>
      <c r="E151" s="148"/>
      <c r="F151" s="148"/>
      <c r="G151" s="123"/>
      <c r="H151" s="123"/>
      <c r="I151" s="123"/>
      <c r="J151" s="123"/>
      <c r="K151" s="123"/>
      <c r="L151" s="127">
        <f t="shared" si="28"/>
        <v>0</v>
      </c>
      <c r="M151" s="123"/>
      <c r="N151" s="123"/>
      <c r="O151" s="123"/>
      <c r="P151" s="134">
        <f t="shared" si="29"/>
        <v>0</v>
      </c>
      <c r="Q151" s="123"/>
      <c r="R151" s="123"/>
      <c r="S151" s="123"/>
      <c r="T151" s="123"/>
      <c r="U151" s="135">
        <f t="shared" si="30"/>
        <v>0</v>
      </c>
      <c r="V151" s="123"/>
      <c r="W151" s="123"/>
      <c r="X151" s="123"/>
      <c r="Y151" s="123"/>
      <c r="Z151" s="123"/>
      <c r="AA151" s="123"/>
      <c r="AB151" s="146">
        <f t="shared" si="33"/>
        <v>0</v>
      </c>
      <c r="AC151" s="147">
        <f t="shared" si="34"/>
        <v>0</v>
      </c>
    </row>
    <row r="152" spans="1:29" ht="26.25">
      <c r="A152" s="145">
        <v>146</v>
      </c>
      <c r="B152" s="162">
        <f>DATA!A147</f>
        <v>0</v>
      </c>
      <c r="C152" s="144">
        <f>DATA!B147</f>
        <v>0</v>
      </c>
      <c r="D152" s="133">
        <f>DATA!C147</f>
        <v>0</v>
      </c>
      <c r="E152" s="148"/>
      <c r="F152" s="148"/>
      <c r="G152" s="123"/>
      <c r="H152" s="123"/>
      <c r="I152" s="123"/>
      <c r="J152" s="123"/>
      <c r="K152" s="123"/>
      <c r="L152" s="127">
        <f t="shared" si="28"/>
        <v>0</v>
      </c>
      <c r="M152" s="123"/>
      <c r="N152" s="123"/>
      <c r="O152" s="123"/>
      <c r="P152" s="134">
        <f t="shared" si="29"/>
        <v>0</v>
      </c>
      <c r="Q152" s="123"/>
      <c r="R152" s="123"/>
      <c r="S152" s="123"/>
      <c r="T152" s="123"/>
      <c r="U152" s="135">
        <f t="shared" si="30"/>
        <v>0</v>
      </c>
      <c r="V152" s="123"/>
      <c r="W152" s="123"/>
      <c r="X152" s="123"/>
      <c r="Y152" s="123"/>
      <c r="Z152" s="123"/>
      <c r="AA152" s="123"/>
      <c r="AB152" s="146">
        <f t="shared" si="33"/>
        <v>0</v>
      </c>
      <c r="AC152" s="147">
        <f t="shared" si="34"/>
        <v>0</v>
      </c>
    </row>
    <row r="153" spans="1:29" ht="26.25">
      <c r="A153" s="145">
        <v>147</v>
      </c>
      <c r="B153" s="162">
        <f>DATA!A148</f>
        <v>0</v>
      </c>
      <c r="C153" s="144">
        <f>DATA!B148</f>
        <v>0</v>
      </c>
      <c r="D153" s="133">
        <f>DATA!C148</f>
        <v>0</v>
      </c>
      <c r="E153" s="148"/>
      <c r="F153" s="148"/>
      <c r="G153" s="123"/>
      <c r="H153" s="123"/>
      <c r="I153" s="123"/>
      <c r="J153" s="123"/>
      <c r="K153" s="123"/>
      <c r="L153" s="127">
        <f t="shared" si="28"/>
        <v>0</v>
      </c>
      <c r="M153" s="123"/>
      <c r="N153" s="123"/>
      <c r="O153" s="123"/>
      <c r="P153" s="134">
        <f t="shared" si="29"/>
        <v>0</v>
      </c>
      <c r="Q153" s="123"/>
      <c r="R153" s="123"/>
      <c r="S153" s="123"/>
      <c r="T153" s="123"/>
      <c r="U153" s="135">
        <f t="shared" si="30"/>
        <v>0</v>
      </c>
      <c r="V153" s="123"/>
      <c r="W153" s="123"/>
      <c r="X153" s="123"/>
      <c r="Y153" s="123"/>
      <c r="Z153" s="123"/>
      <c r="AA153" s="123"/>
      <c r="AB153" s="146">
        <f t="shared" si="33"/>
        <v>0</v>
      </c>
      <c r="AC153" s="147">
        <f t="shared" si="34"/>
        <v>0</v>
      </c>
    </row>
    <row r="154" spans="1:29" ht="26.25">
      <c r="A154" s="145">
        <v>148</v>
      </c>
      <c r="B154" s="162">
        <f>DATA!A149</f>
        <v>0</v>
      </c>
      <c r="C154" s="144">
        <f>DATA!B149</f>
        <v>0</v>
      </c>
      <c r="D154" s="133">
        <f>DATA!C149</f>
        <v>0</v>
      </c>
      <c r="E154" s="148"/>
      <c r="F154" s="148"/>
      <c r="G154" s="123"/>
      <c r="H154" s="123"/>
      <c r="I154" s="123"/>
      <c r="J154" s="123"/>
      <c r="K154" s="123"/>
      <c r="L154" s="127">
        <f t="shared" si="28"/>
        <v>0</v>
      </c>
      <c r="M154" s="123"/>
      <c r="N154" s="123"/>
      <c r="O154" s="123"/>
      <c r="P154" s="134">
        <f t="shared" si="29"/>
        <v>0</v>
      </c>
      <c r="Q154" s="123"/>
      <c r="R154" s="123"/>
      <c r="S154" s="123"/>
      <c r="T154" s="123"/>
      <c r="U154" s="135">
        <f t="shared" si="30"/>
        <v>0</v>
      </c>
      <c r="V154" s="123"/>
      <c r="W154" s="123"/>
      <c r="X154" s="123"/>
      <c r="Y154" s="123"/>
      <c r="Z154" s="123"/>
      <c r="AA154" s="123"/>
      <c r="AB154" s="146">
        <f t="shared" si="33"/>
        <v>0</v>
      </c>
      <c r="AC154" s="147">
        <f t="shared" si="34"/>
        <v>0</v>
      </c>
    </row>
    <row r="155" spans="1:29" ht="26.25">
      <c r="A155" s="145">
        <v>149</v>
      </c>
      <c r="B155" s="162">
        <f>DATA!A150</f>
        <v>0</v>
      </c>
      <c r="C155" s="144">
        <f>DATA!B150</f>
        <v>0</v>
      </c>
      <c r="D155" s="133">
        <f>DATA!C150</f>
        <v>0</v>
      </c>
      <c r="E155" s="148"/>
      <c r="F155" s="148"/>
      <c r="G155" s="123"/>
      <c r="H155" s="123"/>
      <c r="I155" s="123"/>
      <c r="J155" s="123"/>
      <c r="K155" s="123"/>
      <c r="L155" s="127">
        <f t="shared" si="28"/>
        <v>0</v>
      </c>
      <c r="M155" s="123"/>
      <c r="N155" s="123"/>
      <c r="O155" s="123"/>
      <c r="P155" s="134">
        <f t="shared" si="29"/>
        <v>0</v>
      </c>
      <c r="Q155" s="123"/>
      <c r="R155" s="123"/>
      <c r="S155" s="123"/>
      <c r="T155" s="123"/>
      <c r="U155" s="135">
        <f t="shared" si="30"/>
        <v>0</v>
      </c>
      <c r="V155" s="123"/>
      <c r="W155" s="123"/>
      <c r="X155" s="123"/>
      <c r="Y155" s="123"/>
      <c r="Z155" s="123"/>
      <c r="AA155" s="123"/>
      <c r="AB155" s="146">
        <f t="shared" si="33"/>
        <v>0</v>
      </c>
      <c r="AC155" s="147">
        <f t="shared" si="34"/>
        <v>0</v>
      </c>
    </row>
    <row r="156" spans="1:29" ht="26.25">
      <c r="A156" s="145">
        <v>150</v>
      </c>
      <c r="B156" s="162">
        <f>DATA!A151</f>
        <v>0</v>
      </c>
      <c r="C156" s="144">
        <f>DATA!B151</f>
        <v>0</v>
      </c>
      <c r="D156" s="133">
        <f>DATA!C151</f>
        <v>0</v>
      </c>
      <c r="E156" s="148"/>
      <c r="F156" s="148"/>
      <c r="G156" s="123"/>
      <c r="H156" s="123"/>
      <c r="I156" s="123"/>
      <c r="J156" s="123"/>
      <c r="K156" s="123"/>
      <c r="L156" s="127">
        <f t="shared" si="28"/>
        <v>0</v>
      </c>
      <c r="M156" s="123"/>
      <c r="N156" s="123"/>
      <c r="O156" s="123"/>
      <c r="P156" s="134">
        <f t="shared" si="29"/>
        <v>0</v>
      </c>
      <c r="Q156" s="123"/>
      <c r="R156" s="123"/>
      <c r="S156" s="123"/>
      <c r="T156" s="123"/>
      <c r="U156" s="135">
        <f t="shared" si="30"/>
        <v>0</v>
      </c>
      <c r="V156" s="123"/>
      <c r="W156" s="123"/>
      <c r="X156" s="123"/>
      <c r="Y156" s="123"/>
      <c r="Z156" s="123"/>
      <c r="AA156" s="123"/>
      <c r="AB156" s="146">
        <f t="shared" si="33"/>
        <v>0</v>
      </c>
      <c r="AC156" s="147">
        <f t="shared" si="34"/>
        <v>0</v>
      </c>
    </row>
    <row r="157" spans="1:29" ht="26.25">
      <c r="A157" s="145">
        <v>151</v>
      </c>
      <c r="B157" s="162">
        <f>DATA!A152</f>
        <v>0</v>
      </c>
      <c r="C157" s="144">
        <f>DATA!B152</f>
        <v>0</v>
      </c>
      <c r="D157" s="133">
        <f>DATA!C152</f>
        <v>0</v>
      </c>
      <c r="E157" s="148"/>
      <c r="F157" s="148"/>
      <c r="G157" s="123"/>
      <c r="H157" s="123"/>
      <c r="I157" s="123"/>
      <c r="J157" s="123"/>
      <c r="K157" s="123"/>
      <c r="L157" s="127">
        <f t="shared" si="28"/>
        <v>0</v>
      </c>
      <c r="M157" s="123"/>
      <c r="N157" s="123"/>
      <c r="O157" s="123"/>
      <c r="P157" s="134">
        <f t="shared" si="29"/>
        <v>0</v>
      </c>
      <c r="Q157" s="123"/>
      <c r="R157" s="123"/>
      <c r="S157" s="123"/>
      <c r="T157" s="123"/>
      <c r="U157" s="135">
        <f t="shared" si="30"/>
        <v>0</v>
      </c>
      <c r="V157" s="123"/>
      <c r="W157" s="123"/>
      <c r="X157" s="123"/>
      <c r="Y157" s="123"/>
      <c r="Z157" s="123"/>
      <c r="AA157" s="123"/>
      <c r="AB157" s="146">
        <f t="shared" si="33"/>
        <v>0</v>
      </c>
      <c r="AC157" s="147">
        <f t="shared" si="34"/>
        <v>0</v>
      </c>
    </row>
    <row r="158" spans="1:29" ht="26.25">
      <c r="A158" s="145">
        <v>152</v>
      </c>
      <c r="B158" s="162">
        <f>DATA!A153</f>
        <v>0</v>
      </c>
      <c r="C158" s="144">
        <f>DATA!B153</f>
        <v>0</v>
      </c>
      <c r="D158" s="133">
        <f>DATA!C153</f>
        <v>0</v>
      </c>
      <c r="E158" s="148"/>
      <c r="F158" s="148"/>
      <c r="G158" s="123"/>
      <c r="H158" s="123"/>
      <c r="I158" s="123"/>
      <c r="J158" s="123"/>
      <c r="K158" s="123"/>
      <c r="L158" s="127">
        <f t="shared" si="28"/>
        <v>0</v>
      </c>
      <c r="M158" s="123"/>
      <c r="N158" s="123"/>
      <c r="O158" s="123"/>
      <c r="P158" s="134">
        <f t="shared" si="29"/>
        <v>0</v>
      </c>
      <c r="Q158" s="123"/>
      <c r="R158" s="123"/>
      <c r="S158" s="123"/>
      <c r="T158" s="123"/>
      <c r="U158" s="135">
        <f t="shared" si="30"/>
        <v>0</v>
      </c>
      <c r="V158" s="123"/>
      <c r="W158" s="123"/>
      <c r="X158" s="123"/>
      <c r="Y158" s="123"/>
      <c r="Z158" s="123"/>
      <c r="AA158" s="123"/>
      <c r="AB158" s="146">
        <f t="shared" si="33"/>
        <v>0</v>
      </c>
      <c r="AC158" s="147">
        <f t="shared" si="34"/>
        <v>0</v>
      </c>
    </row>
    <row r="159" spans="1:29" ht="26.25">
      <c r="A159" s="145">
        <v>153</v>
      </c>
      <c r="B159" s="162">
        <f>DATA!A154</f>
        <v>0</v>
      </c>
      <c r="C159" s="144">
        <f>DATA!B154</f>
        <v>0</v>
      </c>
      <c r="D159" s="133">
        <f>DATA!C154</f>
        <v>0</v>
      </c>
      <c r="E159" s="148"/>
      <c r="F159" s="148"/>
      <c r="G159" s="123"/>
      <c r="H159" s="123"/>
      <c r="I159" s="123"/>
      <c r="J159" s="123"/>
      <c r="K159" s="123"/>
      <c r="L159" s="127">
        <f t="shared" si="28"/>
        <v>0</v>
      </c>
      <c r="M159" s="123"/>
      <c r="N159" s="123"/>
      <c r="O159" s="123"/>
      <c r="P159" s="134">
        <f t="shared" si="29"/>
        <v>0</v>
      </c>
      <c r="Q159" s="123"/>
      <c r="R159" s="123"/>
      <c r="S159" s="123"/>
      <c r="T159" s="123"/>
      <c r="U159" s="135">
        <f t="shared" si="30"/>
        <v>0</v>
      </c>
      <c r="V159" s="123"/>
      <c r="W159" s="123"/>
      <c r="X159" s="123"/>
      <c r="Y159" s="123"/>
      <c r="Z159" s="123"/>
      <c r="AA159" s="123"/>
      <c r="AB159" s="146">
        <f t="shared" si="33"/>
        <v>0</v>
      </c>
      <c r="AC159" s="147">
        <f t="shared" si="34"/>
        <v>0</v>
      </c>
    </row>
    <row r="160" spans="1:29" ht="26.25">
      <c r="A160" s="145">
        <v>154</v>
      </c>
      <c r="B160" s="162">
        <f>DATA!A155</f>
        <v>0</v>
      </c>
      <c r="C160" s="144">
        <f>DATA!B155</f>
        <v>0</v>
      </c>
      <c r="D160" s="133">
        <f>DATA!C155</f>
        <v>0</v>
      </c>
      <c r="E160" s="148"/>
      <c r="F160" s="148"/>
      <c r="G160" s="123"/>
      <c r="H160" s="123"/>
      <c r="I160" s="123"/>
      <c r="J160" s="123"/>
      <c r="K160" s="123"/>
      <c r="L160" s="127">
        <f t="shared" si="28"/>
        <v>0</v>
      </c>
      <c r="M160" s="123"/>
      <c r="N160" s="123"/>
      <c r="O160" s="123"/>
      <c r="P160" s="134">
        <f t="shared" si="29"/>
        <v>0</v>
      </c>
      <c r="Q160" s="123"/>
      <c r="R160" s="123"/>
      <c r="S160" s="123"/>
      <c r="T160" s="123"/>
      <c r="U160" s="135">
        <f t="shared" si="30"/>
        <v>0</v>
      </c>
      <c r="V160" s="123"/>
      <c r="W160" s="123"/>
      <c r="X160" s="123"/>
      <c r="Y160" s="123"/>
      <c r="Z160" s="123"/>
      <c r="AA160" s="123"/>
      <c r="AB160" s="146">
        <f t="shared" si="33"/>
        <v>0</v>
      </c>
      <c r="AC160" s="147">
        <f t="shared" si="34"/>
        <v>0</v>
      </c>
    </row>
    <row r="161" spans="1:29" ht="26.25">
      <c r="A161" s="145">
        <v>155</v>
      </c>
      <c r="B161" s="162">
        <f>DATA!A156</f>
        <v>0</v>
      </c>
      <c r="C161" s="144">
        <f>DATA!B156</f>
        <v>0</v>
      </c>
      <c r="D161" s="133">
        <f>DATA!C156</f>
        <v>0</v>
      </c>
      <c r="E161" s="148"/>
      <c r="F161" s="148"/>
      <c r="G161" s="123"/>
      <c r="H161" s="123"/>
      <c r="I161" s="123"/>
      <c r="J161" s="123"/>
      <c r="K161" s="123"/>
      <c r="L161" s="127">
        <f t="shared" si="28"/>
        <v>0</v>
      </c>
      <c r="M161" s="123"/>
      <c r="N161" s="123"/>
      <c r="O161" s="123"/>
      <c r="P161" s="134">
        <f t="shared" si="29"/>
        <v>0</v>
      </c>
      <c r="Q161" s="123"/>
      <c r="R161" s="123"/>
      <c r="S161" s="123"/>
      <c r="T161" s="123"/>
      <c r="U161" s="135">
        <f t="shared" si="30"/>
        <v>0</v>
      </c>
      <c r="V161" s="123"/>
      <c r="W161" s="123"/>
      <c r="X161" s="123"/>
      <c r="Y161" s="123"/>
      <c r="Z161" s="123"/>
      <c r="AA161" s="123"/>
      <c r="AB161" s="146">
        <f t="shared" si="33"/>
        <v>0</v>
      </c>
      <c r="AC161" s="147">
        <f t="shared" si="34"/>
        <v>0</v>
      </c>
    </row>
    <row r="162" spans="1:29" ht="26.25">
      <c r="A162" s="145">
        <v>156</v>
      </c>
      <c r="B162" s="162">
        <f>DATA!A157</f>
        <v>0</v>
      </c>
      <c r="C162" s="144">
        <f>DATA!B157</f>
        <v>0</v>
      </c>
      <c r="D162" s="133">
        <f>DATA!C157</f>
        <v>0</v>
      </c>
      <c r="E162" s="148"/>
      <c r="F162" s="148"/>
      <c r="G162" s="123"/>
      <c r="H162" s="123"/>
      <c r="I162" s="123"/>
      <c r="J162" s="123"/>
      <c r="K162" s="123"/>
      <c r="L162" s="127">
        <f t="shared" si="28"/>
        <v>0</v>
      </c>
      <c r="M162" s="123"/>
      <c r="N162" s="123"/>
      <c r="O162" s="123"/>
      <c r="P162" s="134">
        <f t="shared" si="29"/>
        <v>0</v>
      </c>
      <c r="Q162" s="123"/>
      <c r="R162" s="123"/>
      <c r="S162" s="123"/>
      <c r="T162" s="123"/>
      <c r="U162" s="135">
        <f t="shared" si="30"/>
        <v>0</v>
      </c>
      <c r="V162" s="123"/>
      <c r="W162" s="123"/>
      <c r="X162" s="123"/>
      <c r="Y162" s="123"/>
      <c r="Z162" s="123"/>
      <c r="AA162" s="123"/>
      <c r="AB162" s="146">
        <f t="shared" si="33"/>
        <v>0</v>
      </c>
      <c r="AC162" s="147">
        <f t="shared" si="34"/>
        <v>0</v>
      </c>
    </row>
    <row r="163" spans="1:29" ht="26.25">
      <c r="A163" s="145">
        <v>157</v>
      </c>
      <c r="B163" s="162">
        <f>DATA!A158</f>
        <v>0</v>
      </c>
      <c r="C163" s="144">
        <f>DATA!B158</f>
        <v>0</v>
      </c>
      <c r="D163" s="133">
        <f>DATA!C158</f>
        <v>0</v>
      </c>
      <c r="E163" s="148"/>
      <c r="F163" s="148"/>
      <c r="G163" s="123"/>
      <c r="H163" s="123"/>
      <c r="I163" s="123"/>
      <c r="J163" s="123"/>
      <c r="K163" s="123"/>
      <c r="L163" s="127">
        <f t="shared" si="28"/>
        <v>0</v>
      </c>
      <c r="M163" s="123"/>
      <c r="N163" s="123"/>
      <c r="O163" s="123"/>
      <c r="P163" s="134">
        <f t="shared" si="29"/>
        <v>0</v>
      </c>
      <c r="Q163" s="123"/>
      <c r="R163" s="123"/>
      <c r="S163" s="123"/>
      <c r="T163" s="123"/>
      <c r="U163" s="135">
        <f t="shared" si="30"/>
        <v>0</v>
      </c>
      <c r="V163" s="123"/>
      <c r="W163" s="123"/>
      <c r="X163" s="123"/>
      <c r="Y163" s="123"/>
      <c r="Z163" s="123"/>
      <c r="AA163" s="123"/>
      <c r="AB163" s="146">
        <f t="shared" si="33"/>
        <v>0</v>
      </c>
      <c r="AC163" s="147">
        <f t="shared" si="34"/>
        <v>0</v>
      </c>
    </row>
    <row r="164" spans="1:29" ht="26.25">
      <c r="A164" s="145">
        <v>158</v>
      </c>
      <c r="B164" s="162">
        <f>DATA!A159</f>
        <v>0</v>
      </c>
      <c r="C164" s="144">
        <f>DATA!B159</f>
        <v>0</v>
      </c>
      <c r="D164" s="133">
        <f>DATA!C159</f>
        <v>0</v>
      </c>
      <c r="E164" s="148"/>
      <c r="F164" s="148"/>
      <c r="G164" s="123"/>
      <c r="H164" s="123"/>
      <c r="I164" s="123"/>
      <c r="J164" s="123"/>
      <c r="K164" s="123"/>
      <c r="L164" s="127">
        <f t="shared" si="28"/>
        <v>0</v>
      </c>
      <c r="M164" s="123"/>
      <c r="N164" s="123"/>
      <c r="O164" s="123"/>
      <c r="P164" s="134">
        <f t="shared" si="29"/>
        <v>0</v>
      </c>
      <c r="Q164" s="123"/>
      <c r="R164" s="123"/>
      <c r="S164" s="123"/>
      <c r="T164" s="123"/>
      <c r="U164" s="135">
        <f t="shared" si="30"/>
        <v>0</v>
      </c>
      <c r="V164" s="123"/>
      <c r="W164" s="123"/>
      <c r="X164" s="123"/>
      <c r="Y164" s="123"/>
      <c r="Z164" s="123"/>
      <c r="AA164" s="123"/>
      <c r="AB164" s="146">
        <f t="shared" si="33"/>
        <v>0</v>
      </c>
      <c r="AC164" s="147">
        <f t="shared" si="34"/>
        <v>0</v>
      </c>
    </row>
    <row r="165" spans="1:29" ht="26.25">
      <c r="A165" s="145">
        <v>159</v>
      </c>
      <c r="B165" s="162">
        <f>DATA!A160</f>
        <v>0</v>
      </c>
      <c r="C165" s="144">
        <f>DATA!B160</f>
        <v>0</v>
      </c>
      <c r="D165" s="133">
        <f>DATA!C160</f>
        <v>0</v>
      </c>
      <c r="E165" s="148"/>
      <c r="F165" s="148"/>
      <c r="G165" s="123"/>
      <c r="H165" s="123"/>
      <c r="I165" s="123"/>
      <c r="J165" s="123"/>
      <c r="K165" s="123"/>
      <c r="L165" s="127">
        <f t="shared" si="28"/>
        <v>0</v>
      </c>
      <c r="M165" s="123"/>
      <c r="N165" s="123"/>
      <c r="O165" s="123"/>
      <c r="P165" s="134">
        <f t="shared" si="29"/>
        <v>0</v>
      </c>
      <c r="Q165" s="123"/>
      <c r="R165" s="123"/>
      <c r="S165" s="123"/>
      <c r="T165" s="123"/>
      <c r="U165" s="135">
        <f t="shared" si="30"/>
        <v>0</v>
      </c>
      <c r="V165" s="123"/>
      <c r="W165" s="123"/>
      <c r="X165" s="123"/>
      <c r="Y165" s="123"/>
      <c r="Z165" s="123"/>
      <c r="AA165" s="123"/>
      <c r="AB165" s="146">
        <f t="shared" si="33"/>
        <v>0</v>
      </c>
      <c r="AC165" s="147">
        <f t="shared" si="34"/>
        <v>0</v>
      </c>
    </row>
    <row r="166" spans="1:29" ht="26.25">
      <c r="A166" s="145">
        <v>160</v>
      </c>
      <c r="B166" s="162">
        <f>DATA!A161</f>
        <v>0</v>
      </c>
      <c r="C166" s="144">
        <f>DATA!B161</f>
        <v>0</v>
      </c>
      <c r="D166" s="133">
        <f>DATA!C161</f>
        <v>0</v>
      </c>
      <c r="E166" s="148"/>
      <c r="F166" s="148"/>
      <c r="G166" s="123"/>
      <c r="H166" s="123"/>
      <c r="I166" s="123"/>
      <c r="J166" s="123"/>
      <c r="K166" s="123"/>
      <c r="L166" s="127">
        <f t="shared" si="28"/>
        <v>0</v>
      </c>
      <c r="M166" s="123"/>
      <c r="N166" s="123"/>
      <c r="O166" s="123"/>
      <c r="P166" s="134">
        <f t="shared" si="29"/>
        <v>0</v>
      </c>
      <c r="Q166" s="123"/>
      <c r="R166" s="123"/>
      <c r="S166" s="123"/>
      <c r="T166" s="123"/>
      <c r="U166" s="135">
        <f t="shared" si="30"/>
        <v>0</v>
      </c>
      <c r="V166" s="123"/>
      <c r="W166" s="123"/>
      <c r="X166" s="123"/>
      <c r="Y166" s="123"/>
      <c r="Z166" s="123"/>
      <c r="AA166" s="123"/>
      <c r="AB166" s="146">
        <f t="shared" si="33"/>
        <v>0</v>
      </c>
      <c r="AC166" s="147">
        <f t="shared" si="34"/>
        <v>0</v>
      </c>
    </row>
    <row r="167" spans="1:29" ht="26.25">
      <c r="A167" s="145">
        <v>161</v>
      </c>
      <c r="B167" s="162">
        <f>DATA!A162</f>
        <v>0</v>
      </c>
      <c r="C167" s="144">
        <f>DATA!B162</f>
        <v>0</v>
      </c>
      <c r="D167" s="133">
        <f>DATA!C162</f>
        <v>0</v>
      </c>
      <c r="E167" s="148"/>
      <c r="F167" s="148"/>
      <c r="G167" s="123"/>
      <c r="H167" s="123"/>
      <c r="I167" s="123"/>
      <c r="J167" s="123"/>
      <c r="K167" s="123"/>
      <c r="L167" s="127">
        <f t="shared" si="28"/>
        <v>0</v>
      </c>
      <c r="M167" s="123"/>
      <c r="N167" s="123"/>
      <c r="O167" s="123"/>
      <c r="P167" s="134">
        <f t="shared" si="29"/>
        <v>0</v>
      </c>
      <c r="Q167" s="123"/>
      <c r="R167" s="123"/>
      <c r="S167" s="123"/>
      <c r="T167" s="123"/>
      <c r="U167" s="135">
        <f t="shared" si="30"/>
        <v>0</v>
      </c>
      <c r="V167" s="123"/>
      <c r="W167" s="123"/>
      <c r="X167" s="123"/>
      <c r="Y167" s="123"/>
      <c r="Z167" s="123"/>
      <c r="AA167" s="123"/>
      <c r="AB167" s="146">
        <f t="shared" si="33"/>
        <v>0</v>
      </c>
      <c r="AC167" s="147">
        <f t="shared" si="34"/>
        <v>0</v>
      </c>
    </row>
    <row r="168" spans="1:29" ht="26.25">
      <c r="A168" s="145">
        <v>162</v>
      </c>
      <c r="B168" s="162">
        <f>DATA!A163</f>
        <v>0</v>
      </c>
      <c r="C168" s="144">
        <f>DATA!B163</f>
        <v>0</v>
      </c>
      <c r="D168" s="133">
        <f>DATA!C163</f>
        <v>0</v>
      </c>
      <c r="E168" s="148"/>
      <c r="F168" s="148"/>
      <c r="G168" s="123"/>
      <c r="H168" s="123"/>
      <c r="I168" s="123"/>
      <c r="J168" s="123"/>
      <c r="K168" s="123"/>
      <c r="L168" s="127">
        <f t="shared" si="28"/>
        <v>0</v>
      </c>
      <c r="M168" s="123"/>
      <c r="N168" s="123"/>
      <c r="O168" s="123"/>
      <c r="P168" s="134">
        <f t="shared" si="29"/>
        <v>0</v>
      </c>
      <c r="Q168" s="123"/>
      <c r="R168" s="123"/>
      <c r="S168" s="123"/>
      <c r="T168" s="123"/>
      <c r="U168" s="135">
        <f t="shared" si="30"/>
        <v>0</v>
      </c>
      <c r="V168" s="123"/>
      <c r="W168" s="123"/>
      <c r="X168" s="123"/>
      <c r="Y168" s="123"/>
      <c r="Z168" s="123"/>
      <c r="AA168" s="123"/>
      <c r="AB168" s="146">
        <f t="shared" si="33"/>
        <v>0</v>
      </c>
      <c r="AC168" s="147">
        <f t="shared" si="34"/>
        <v>0</v>
      </c>
    </row>
    <row r="169" spans="1:29" ht="26.25">
      <c r="A169" s="145">
        <v>163</v>
      </c>
      <c r="B169" s="162">
        <f>DATA!A164</f>
        <v>0</v>
      </c>
      <c r="C169" s="144">
        <f>DATA!B164</f>
        <v>0</v>
      </c>
      <c r="D169" s="133">
        <f>DATA!C164</f>
        <v>0</v>
      </c>
      <c r="E169" s="148"/>
      <c r="F169" s="148"/>
      <c r="G169" s="123"/>
      <c r="H169" s="123"/>
      <c r="I169" s="123"/>
      <c r="J169" s="123"/>
      <c r="K169" s="123"/>
      <c r="L169" s="127">
        <f t="shared" si="28"/>
        <v>0</v>
      </c>
      <c r="M169" s="123"/>
      <c r="N169" s="123"/>
      <c r="O169" s="123"/>
      <c r="P169" s="134">
        <f t="shared" si="29"/>
        <v>0</v>
      </c>
      <c r="Q169" s="123"/>
      <c r="R169" s="123"/>
      <c r="S169" s="123"/>
      <c r="T169" s="123"/>
      <c r="U169" s="135">
        <f t="shared" si="30"/>
        <v>0</v>
      </c>
      <c r="V169" s="123"/>
      <c r="W169" s="123"/>
      <c r="X169" s="123"/>
      <c r="Y169" s="123"/>
      <c r="Z169" s="123"/>
      <c r="AA169" s="123"/>
      <c r="AB169" s="146">
        <f t="shared" si="33"/>
        <v>0</v>
      </c>
      <c r="AC169" s="147">
        <f t="shared" si="34"/>
        <v>0</v>
      </c>
    </row>
    <row r="170" spans="1:29" ht="26.25">
      <c r="A170" s="145">
        <v>164</v>
      </c>
      <c r="B170" s="162">
        <f>DATA!A165</f>
        <v>0</v>
      </c>
      <c r="C170" s="144">
        <f>DATA!B165</f>
        <v>0</v>
      </c>
      <c r="D170" s="133">
        <f>DATA!C165</f>
        <v>0</v>
      </c>
      <c r="E170" s="148"/>
      <c r="F170" s="148"/>
      <c r="G170" s="123"/>
      <c r="H170" s="123"/>
      <c r="I170" s="123"/>
      <c r="J170" s="123"/>
      <c r="K170" s="123"/>
      <c r="L170" s="127">
        <f t="shared" si="28"/>
        <v>0</v>
      </c>
      <c r="M170" s="123"/>
      <c r="N170" s="123"/>
      <c r="O170" s="123"/>
      <c r="P170" s="134">
        <f t="shared" si="29"/>
        <v>0</v>
      </c>
      <c r="Q170" s="123"/>
      <c r="R170" s="123"/>
      <c r="S170" s="123"/>
      <c r="T170" s="123"/>
      <c r="U170" s="135">
        <f t="shared" si="30"/>
        <v>0</v>
      </c>
      <c r="V170" s="123"/>
      <c r="W170" s="123"/>
      <c r="X170" s="123"/>
      <c r="Y170" s="123"/>
      <c r="Z170" s="123"/>
      <c r="AA170" s="123"/>
      <c r="AB170" s="146">
        <f t="shared" si="33"/>
        <v>0</v>
      </c>
      <c r="AC170" s="147">
        <f t="shared" si="34"/>
        <v>0</v>
      </c>
    </row>
    <row r="171" spans="1:29" ht="26.25">
      <c r="A171" s="145">
        <v>165</v>
      </c>
      <c r="B171" s="162">
        <f>DATA!A166</f>
        <v>0</v>
      </c>
      <c r="C171" s="144">
        <f>DATA!B166</f>
        <v>0</v>
      </c>
      <c r="D171" s="133">
        <f>DATA!C166</f>
        <v>0</v>
      </c>
      <c r="E171" s="148"/>
      <c r="F171" s="148"/>
      <c r="G171" s="123"/>
      <c r="H171" s="123"/>
      <c r="I171" s="123"/>
      <c r="J171" s="123"/>
      <c r="K171" s="123"/>
      <c r="L171" s="127">
        <f t="shared" si="28"/>
        <v>0</v>
      </c>
      <c r="M171" s="123"/>
      <c r="N171" s="123"/>
      <c r="O171" s="123"/>
      <c r="P171" s="134">
        <f t="shared" si="29"/>
        <v>0</v>
      </c>
      <c r="Q171" s="123"/>
      <c r="R171" s="123"/>
      <c r="S171" s="123"/>
      <c r="T171" s="123"/>
      <c r="U171" s="135">
        <f t="shared" si="30"/>
        <v>0</v>
      </c>
      <c r="V171" s="123"/>
      <c r="W171" s="123"/>
      <c r="X171" s="123"/>
      <c r="Y171" s="123"/>
      <c r="Z171" s="123"/>
      <c r="AA171" s="123"/>
      <c r="AB171" s="146">
        <f t="shared" si="33"/>
        <v>0</v>
      </c>
      <c r="AC171" s="147">
        <f t="shared" si="34"/>
        <v>0</v>
      </c>
    </row>
    <row r="172" spans="1:29" ht="26.25">
      <c r="A172" s="145">
        <v>166</v>
      </c>
      <c r="B172" s="162">
        <f>DATA!A167</f>
        <v>0</v>
      </c>
      <c r="C172" s="144">
        <f>DATA!B167</f>
        <v>0</v>
      </c>
      <c r="D172" s="133">
        <f>DATA!C167</f>
        <v>0</v>
      </c>
      <c r="E172" s="148"/>
      <c r="F172" s="148"/>
      <c r="G172" s="123"/>
      <c r="H172" s="123"/>
      <c r="I172" s="123"/>
      <c r="J172" s="123"/>
      <c r="K172" s="123"/>
      <c r="L172" s="127">
        <f t="shared" si="28"/>
        <v>0</v>
      </c>
      <c r="M172" s="123"/>
      <c r="N172" s="123"/>
      <c r="O172" s="123"/>
      <c r="P172" s="134">
        <f t="shared" si="29"/>
        <v>0</v>
      </c>
      <c r="Q172" s="123"/>
      <c r="R172" s="123"/>
      <c r="S172" s="123"/>
      <c r="T172" s="123"/>
      <c r="U172" s="135">
        <f t="shared" si="30"/>
        <v>0</v>
      </c>
      <c r="V172" s="123"/>
      <c r="W172" s="123"/>
      <c r="X172" s="123"/>
      <c r="Y172" s="123"/>
      <c r="Z172" s="123"/>
      <c r="AA172" s="123"/>
      <c r="AB172" s="146">
        <f t="shared" si="33"/>
        <v>0</v>
      </c>
      <c r="AC172" s="147">
        <f t="shared" si="34"/>
        <v>0</v>
      </c>
    </row>
    <row r="173" spans="1:29" ht="26.25">
      <c r="A173" s="145">
        <v>167</v>
      </c>
      <c r="B173" s="162">
        <f>DATA!A168</f>
        <v>0</v>
      </c>
      <c r="C173" s="144">
        <f>DATA!B168</f>
        <v>0</v>
      </c>
      <c r="D173" s="133">
        <f>DATA!C168</f>
        <v>0</v>
      </c>
      <c r="E173" s="148"/>
      <c r="F173" s="148"/>
      <c r="G173" s="123"/>
      <c r="H173" s="123"/>
      <c r="I173" s="123"/>
      <c r="J173" s="123"/>
      <c r="K173" s="123"/>
      <c r="L173" s="127">
        <f t="shared" si="28"/>
        <v>0</v>
      </c>
      <c r="M173" s="123"/>
      <c r="N173" s="123"/>
      <c r="O173" s="123"/>
      <c r="P173" s="134">
        <f t="shared" si="29"/>
        <v>0</v>
      </c>
      <c r="Q173" s="123"/>
      <c r="R173" s="123"/>
      <c r="S173" s="123"/>
      <c r="T173" s="123"/>
      <c r="U173" s="135">
        <f t="shared" si="30"/>
        <v>0</v>
      </c>
      <c r="V173" s="123"/>
      <c r="W173" s="123"/>
      <c r="X173" s="123"/>
      <c r="Y173" s="123"/>
      <c r="Z173" s="123"/>
      <c r="AA173" s="123"/>
      <c r="AB173" s="146">
        <f t="shared" si="33"/>
        <v>0</v>
      </c>
      <c r="AC173" s="147">
        <f t="shared" si="34"/>
        <v>0</v>
      </c>
    </row>
    <row r="174" spans="1:29" ht="26.25">
      <c r="A174" s="145">
        <v>168</v>
      </c>
      <c r="B174" s="162">
        <f>DATA!A169</f>
        <v>0</v>
      </c>
      <c r="C174" s="144">
        <f>DATA!B169</f>
        <v>0</v>
      </c>
      <c r="D174" s="133">
        <f>DATA!C169</f>
        <v>0</v>
      </c>
      <c r="E174" s="148"/>
      <c r="F174" s="148"/>
      <c r="G174" s="123"/>
      <c r="H174" s="123"/>
      <c r="I174" s="123"/>
      <c r="J174" s="123"/>
      <c r="K174" s="123"/>
      <c r="L174" s="127">
        <f t="shared" si="28"/>
        <v>0</v>
      </c>
      <c r="M174" s="123"/>
      <c r="N174" s="123"/>
      <c r="O174" s="123"/>
      <c r="P174" s="134">
        <f t="shared" si="29"/>
        <v>0</v>
      </c>
      <c r="Q174" s="123"/>
      <c r="R174" s="123"/>
      <c r="S174" s="123"/>
      <c r="T174" s="123"/>
      <c r="U174" s="135">
        <f t="shared" si="30"/>
        <v>0</v>
      </c>
      <c r="V174" s="123"/>
      <c r="W174" s="123"/>
      <c r="X174" s="123"/>
      <c r="Y174" s="123"/>
      <c r="Z174" s="123"/>
      <c r="AA174" s="123"/>
      <c r="AB174" s="146">
        <f t="shared" si="33"/>
        <v>0</v>
      </c>
      <c r="AC174" s="147">
        <f t="shared" si="34"/>
        <v>0</v>
      </c>
    </row>
    <row r="175" spans="1:29" ht="26.25">
      <c r="A175" s="145">
        <v>169</v>
      </c>
      <c r="B175" s="162">
        <f>DATA!A170</f>
        <v>0</v>
      </c>
      <c r="C175" s="144">
        <f>DATA!B170</f>
        <v>0</v>
      </c>
      <c r="D175" s="133">
        <f>DATA!C170</f>
        <v>0</v>
      </c>
      <c r="E175" s="148"/>
      <c r="F175" s="148"/>
      <c r="G175" s="123"/>
      <c r="H175" s="123"/>
      <c r="I175" s="123"/>
      <c r="J175" s="123"/>
      <c r="K175" s="123"/>
      <c r="L175" s="127">
        <f t="shared" si="28"/>
        <v>0</v>
      </c>
      <c r="M175" s="123"/>
      <c r="N175" s="123"/>
      <c r="O175" s="123"/>
      <c r="P175" s="134">
        <f t="shared" si="29"/>
        <v>0</v>
      </c>
      <c r="Q175" s="123"/>
      <c r="R175" s="123"/>
      <c r="S175" s="123"/>
      <c r="T175" s="123"/>
      <c r="U175" s="135">
        <f t="shared" si="30"/>
        <v>0</v>
      </c>
      <c r="V175" s="123"/>
      <c r="W175" s="123"/>
      <c r="X175" s="123"/>
      <c r="Y175" s="123"/>
      <c r="Z175" s="123"/>
      <c r="AA175" s="123"/>
      <c r="AB175" s="146">
        <f t="shared" si="33"/>
        <v>0</v>
      </c>
      <c r="AC175" s="147">
        <f t="shared" si="34"/>
        <v>0</v>
      </c>
    </row>
    <row r="176" spans="1:29" ht="26.25">
      <c r="A176" s="145">
        <v>170</v>
      </c>
      <c r="B176" s="162">
        <f>DATA!A171</f>
        <v>0</v>
      </c>
      <c r="C176" s="144">
        <f>DATA!B171</f>
        <v>0</v>
      </c>
      <c r="D176" s="133">
        <f>DATA!C171</f>
        <v>0</v>
      </c>
      <c r="E176" s="148"/>
      <c r="F176" s="148"/>
      <c r="G176" s="123"/>
      <c r="H176" s="123"/>
      <c r="I176" s="123"/>
      <c r="J176" s="123"/>
      <c r="K176" s="123"/>
      <c r="L176" s="127">
        <f t="shared" si="28"/>
        <v>0</v>
      </c>
      <c r="M176" s="123"/>
      <c r="N176" s="123"/>
      <c r="O176" s="123"/>
      <c r="P176" s="134">
        <f t="shared" si="29"/>
        <v>0</v>
      </c>
      <c r="Q176" s="123"/>
      <c r="R176" s="123"/>
      <c r="S176" s="123"/>
      <c r="T176" s="123"/>
      <c r="U176" s="135">
        <f t="shared" si="30"/>
        <v>0</v>
      </c>
      <c r="V176" s="123"/>
      <c r="W176" s="123"/>
      <c r="X176" s="123"/>
      <c r="Y176" s="123"/>
      <c r="Z176" s="123"/>
      <c r="AA176" s="123"/>
      <c r="AB176" s="146">
        <f t="shared" si="33"/>
        <v>0</v>
      </c>
      <c r="AC176" s="147">
        <f t="shared" si="34"/>
        <v>0</v>
      </c>
    </row>
    <row r="177" spans="1:29" ht="26.25">
      <c r="A177" s="145">
        <v>171</v>
      </c>
      <c r="B177" s="162">
        <f>DATA!A172</f>
        <v>0</v>
      </c>
      <c r="C177" s="144">
        <f>DATA!B172</f>
        <v>0</v>
      </c>
      <c r="D177" s="133">
        <f>DATA!C172</f>
        <v>0</v>
      </c>
      <c r="E177" s="148"/>
      <c r="F177" s="148"/>
      <c r="G177" s="123"/>
      <c r="H177" s="123"/>
      <c r="I177" s="123"/>
      <c r="J177" s="123"/>
      <c r="K177" s="123"/>
      <c r="L177" s="127">
        <f t="shared" si="28"/>
        <v>0</v>
      </c>
      <c r="M177" s="123"/>
      <c r="N177" s="123"/>
      <c r="O177" s="123"/>
      <c r="P177" s="134">
        <f t="shared" si="29"/>
        <v>0</v>
      </c>
      <c r="Q177" s="123"/>
      <c r="R177" s="123"/>
      <c r="S177" s="123"/>
      <c r="T177" s="123"/>
      <c r="U177" s="135">
        <f t="shared" si="30"/>
        <v>0</v>
      </c>
      <c r="V177" s="123"/>
      <c r="W177" s="123"/>
      <c r="X177" s="123"/>
      <c r="Y177" s="123"/>
      <c r="Z177" s="123"/>
      <c r="AA177" s="123"/>
      <c r="AB177" s="146">
        <f t="shared" si="33"/>
        <v>0</v>
      </c>
      <c r="AC177" s="147">
        <f t="shared" si="34"/>
        <v>0</v>
      </c>
    </row>
    <row r="178" spans="1:29" ht="26.25">
      <c r="A178" s="145">
        <v>172</v>
      </c>
      <c r="B178" s="162">
        <f>DATA!A173</f>
        <v>0</v>
      </c>
      <c r="C178" s="144">
        <f>DATA!B173</f>
        <v>0</v>
      </c>
      <c r="D178" s="133">
        <f>DATA!C173</f>
        <v>0</v>
      </c>
      <c r="E178" s="148"/>
      <c r="F178" s="148"/>
      <c r="G178" s="123"/>
      <c r="H178" s="123"/>
      <c r="I178" s="123"/>
      <c r="J178" s="123"/>
      <c r="K178" s="123"/>
      <c r="L178" s="127">
        <f t="shared" si="28"/>
        <v>0</v>
      </c>
      <c r="M178" s="123"/>
      <c r="N178" s="123"/>
      <c r="O178" s="123"/>
      <c r="P178" s="134">
        <f t="shared" si="29"/>
        <v>0</v>
      </c>
      <c r="Q178" s="123"/>
      <c r="R178" s="123"/>
      <c r="S178" s="123"/>
      <c r="T178" s="123"/>
      <c r="U178" s="135">
        <f t="shared" si="30"/>
        <v>0</v>
      </c>
      <c r="V178" s="123"/>
      <c r="W178" s="123"/>
      <c r="X178" s="123"/>
      <c r="Y178" s="123"/>
      <c r="Z178" s="123"/>
      <c r="AA178" s="123"/>
      <c r="AB178" s="146">
        <f t="shared" si="33"/>
        <v>0</v>
      </c>
      <c r="AC178" s="147">
        <f t="shared" si="34"/>
        <v>0</v>
      </c>
    </row>
    <row r="179" spans="1:29" ht="26.25">
      <c r="A179" s="145">
        <v>173</v>
      </c>
      <c r="B179" s="162">
        <f>DATA!A174</f>
        <v>0</v>
      </c>
      <c r="C179" s="144">
        <f>DATA!B174</f>
        <v>0</v>
      </c>
      <c r="D179" s="133">
        <f>DATA!C174</f>
        <v>0</v>
      </c>
      <c r="E179" s="148"/>
      <c r="F179" s="148"/>
      <c r="G179" s="123"/>
      <c r="H179" s="123"/>
      <c r="I179" s="123"/>
      <c r="J179" s="123"/>
      <c r="K179" s="123"/>
      <c r="L179" s="127">
        <f t="shared" si="28"/>
        <v>0</v>
      </c>
      <c r="M179" s="123"/>
      <c r="N179" s="123"/>
      <c r="O179" s="123"/>
      <c r="P179" s="134">
        <f t="shared" si="29"/>
        <v>0</v>
      </c>
      <c r="Q179" s="123"/>
      <c r="R179" s="123"/>
      <c r="S179" s="123"/>
      <c r="T179" s="123"/>
      <c r="U179" s="135">
        <f t="shared" si="30"/>
        <v>0</v>
      </c>
      <c r="V179" s="123"/>
      <c r="W179" s="123"/>
      <c r="X179" s="123"/>
      <c r="Y179" s="123"/>
      <c r="Z179" s="123"/>
      <c r="AA179" s="123"/>
      <c r="AB179" s="146">
        <f t="shared" si="33"/>
        <v>0</v>
      </c>
      <c r="AC179" s="147">
        <f t="shared" si="34"/>
        <v>0</v>
      </c>
    </row>
    <row r="180" spans="1:29" ht="26.25">
      <c r="A180" s="145">
        <v>174</v>
      </c>
      <c r="B180" s="162">
        <f>DATA!A175</f>
        <v>0</v>
      </c>
      <c r="C180" s="144">
        <f>DATA!B175</f>
        <v>0</v>
      </c>
      <c r="D180" s="133">
        <f>DATA!C175</f>
        <v>0</v>
      </c>
      <c r="E180" s="148"/>
      <c r="F180" s="148"/>
      <c r="G180" s="123"/>
      <c r="H180" s="123"/>
      <c r="I180" s="123"/>
      <c r="J180" s="123"/>
      <c r="K180" s="123"/>
      <c r="L180" s="127">
        <f t="shared" ref="L180:L205" si="35">SUM(E180:K180)</f>
        <v>0</v>
      </c>
      <c r="M180" s="123"/>
      <c r="N180" s="123"/>
      <c r="O180" s="123"/>
      <c r="P180" s="134">
        <f t="shared" ref="P180:P205" si="36">SUM(M180:O180)</f>
        <v>0</v>
      </c>
      <c r="Q180" s="123"/>
      <c r="R180" s="123"/>
      <c r="S180" s="123"/>
      <c r="T180" s="123"/>
      <c r="U180" s="135">
        <f t="shared" ref="U180:U205" si="37">SUM(Q180:T180)</f>
        <v>0</v>
      </c>
      <c r="V180" s="123"/>
      <c r="W180" s="123"/>
      <c r="X180" s="123"/>
      <c r="Y180" s="123"/>
      <c r="Z180" s="123"/>
      <c r="AA180" s="123"/>
      <c r="AB180" s="146">
        <f t="shared" si="33"/>
        <v>0</v>
      </c>
      <c r="AC180" s="147">
        <f t="shared" si="34"/>
        <v>0</v>
      </c>
    </row>
    <row r="181" spans="1:29" ht="26.25">
      <c r="A181" s="145">
        <v>175</v>
      </c>
      <c r="B181" s="162">
        <f>DATA!A176</f>
        <v>0</v>
      </c>
      <c r="C181" s="144">
        <f>DATA!B176</f>
        <v>0</v>
      </c>
      <c r="D181" s="133">
        <f>DATA!C176</f>
        <v>0</v>
      </c>
      <c r="E181" s="148"/>
      <c r="F181" s="148"/>
      <c r="G181" s="123"/>
      <c r="H181" s="123"/>
      <c r="I181" s="123"/>
      <c r="J181" s="123"/>
      <c r="K181" s="123"/>
      <c r="L181" s="127">
        <f t="shared" si="35"/>
        <v>0</v>
      </c>
      <c r="M181" s="123"/>
      <c r="N181" s="123"/>
      <c r="O181" s="123"/>
      <c r="P181" s="134">
        <f t="shared" si="36"/>
        <v>0</v>
      </c>
      <c r="Q181" s="123"/>
      <c r="R181" s="123"/>
      <c r="S181" s="123"/>
      <c r="T181" s="123"/>
      <c r="U181" s="135">
        <f t="shared" si="37"/>
        <v>0</v>
      </c>
      <c r="V181" s="123"/>
      <c r="W181" s="123"/>
      <c r="X181" s="123"/>
      <c r="Y181" s="123"/>
      <c r="Z181" s="123"/>
      <c r="AA181" s="123"/>
      <c r="AB181" s="146">
        <f t="shared" ref="AB181:AB205" si="38">SUM(V181:AA181)</f>
        <v>0</v>
      </c>
      <c r="AC181" s="147">
        <f t="shared" ref="AC181:AC205" si="39">L181+P181+U181+AB181</f>
        <v>0</v>
      </c>
    </row>
    <row r="182" spans="1:29" ht="26.25">
      <c r="A182" s="145">
        <v>176</v>
      </c>
      <c r="B182" s="162">
        <f>DATA!A177</f>
        <v>0</v>
      </c>
      <c r="C182" s="144">
        <f>DATA!B177</f>
        <v>0</v>
      </c>
      <c r="D182" s="133">
        <f>DATA!C177</f>
        <v>0</v>
      </c>
      <c r="E182" s="148"/>
      <c r="F182" s="148"/>
      <c r="G182" s="123"/>
      <c r="H182" s="123"/>
      <c r="I182" s="123"/>
      <c r="J182" s="123"/>
      <c r="K182" s="123"/>
      <c r="L182" s="127">
        <f t="shared" si="35"/>
        <v>0</v>
      </c>
      <c r="M182" s="123"/>
      <c r="N182" s="123"/>
      <c r="O182" s="123"/>
      <c r="P182" s="134">
        <f t="shared" si="36"/>
        <v>0</v>
      </c>
      <c r="Q182" s="123"/>
      <c r="R182" s="123"/>
      <c r="S182" s="123"/>
      <c r="T182" s="123"/>
      <c r="U182" s="135">
        <f t="shared" si="37"/>
        <v>0</v>
      </c>
      <c r="V182" s="123"/>
      <c r="W182" s="123"/>
      <c r="X182" s="123"/>
      <c r="Y182" s="123"/>
      <c r="Z182" s="123"/>
      <c r="AA182" s="123"/>
      <c r="AB182" s="146">
        <f t="shared" si="38"/>
        <v>0</v>
      </c>
      <c r="AC182" s="147">
        <f t="shared" si="39"/>
        <v>0</v>
      </c>
    </row>
    <row r="183" spans="1:29" ht="26.25">
      <c r="A183" s="145">
        <v>177</v>
      </c>
      <c r="B183" s="162">
        <f>DATA!A178</f>
        <v>0</v>
      </c>
      <c r="C183" s="144">
        <f>DATA!B178</f>
        <v>0</v>
      </c>
      <c r="D183" s="133">
        <f>DATA!C178</f>
        <v>0</v>
      </c>
      <c r="E183" s="148"/>
      <c r="F183" s="148"/>
      <c r="G183" s="123"/>
      <c r="H183" s="123"/>
      <c r="I183" s="123"/>
      <c r="J183" s="123"/>
      <c r="K183" s="123"/>
      <c r="L183" s="127">
        <f t="shared" si="35"/>
        <v>0</v>
      </c>
      <c r="M183" s="123"/>
      <c r="N183" s="123"/>
      <c r="O183" s="123"/>
      <c r="P183" s="134">
        <f t="shared" si="36"/>
        <v>0</v>
      </c>
      <c r="Q183" s="123"/>
      <c r="R183" s="123"/>
      <c r="S183" s="123"/>
      <c r="T183" s="123"/>
      <c r="U183" s="135">
        <f t="shared" si="37"/>
        <v>0</v>
      </c>
      <c r="V183" s="123"/>
      <c r="W183" s="123"/>
      <c r="X183" s="123"/>
      <c r="Y183" s="123"/>
      <c r="Z183" s="123"/>
      <c r="AA183" s="123"/>
      <c r="AB183" s="146">
        <f t="shared" si="38"/>
        <v>0</v>
      </c>
      <c r="AC183" s="147">
        <f t="shared" si="39"/>
        <v>0</v>
      </c>
    </row>
    <row r="184" spans="1:29" ht="26.25">
      <c r="A184" s="145">
        <v>178</v>
      </c>
      <c r="B184" s="162">
        <f>DATA!A179</f>
        <v>0</v>
      </c>
      <c r="C184" s="144">
        <f>DATA!B179</f>
        <v>0</v>
      </c>
      <c r="D184" s="133">
        <f>DATA!C179</f>
        <v>0</v>
      </c>
      <c r="E184" s="148"/>
      <c r="F184" s="148"/>
      <c r="G184" s="123"/>
      <c r="H184" s="123"/>
      <c r="I184" s="123"/>
      <c r="J184" s="123"/>
      <c r="K184" s="123"/>
      <c r="L184" s="127">
        <f t="shared" si="35"/>
        <v>0</v>
      </c>
      <c r="M184" s="123"/>
      <c r="N184" s="123"/>
      <c r="O184" s="123"/>
      <c r="P184" s="134">
        <f t="shared" si="36"/>
        <v>0</v>
      </c>
      <c r="Q184" s="123"/>
      <c r="R184" s="123"/>
      <c r="S184" s="123"/>
      <c r="T184" s="123"/>
      <c r="U184" s="135">
        <f t="shared" si="37"/>
        <v>0</v>
      </c>
      <c r="V184" s="123"/>
      <c r="W184" s="123"/>
      <c r="X184" s="123"/>
      <c r="Y184" s="123"/>
      <c r="Z184" s="123"/>
      <c r="AA184" s="123"/>
      <c r="AB184" s="146">
        <f t="shared" si="38"/>
        <v>0</v>
      </c>
      <c r="AC184" s="147">
        <f t="shared" si="39"/>
        <v>0</v>
      </c>
    </row>
    <row r="185" spans="1:29" ht="26.25">
      <c r="A185" s="145">
        <v>179</v>
      </c>
      <c r="B185" s="162">
        <f>DATA!A180</f>
        <v>0</v>
      </c>
      <c r="C185" s="144">
        <f>DATA!B180</f>
        <v>0</v>
      </c>
      <c r="D185" s="133">
        <f>DATA!C180</f>
        <v>0</v>
      </c>
      <c r="E185" s="148"/>
      <c r="F185" s="148"/>
      <c r="G185" s="123"/>
      <c r="H185" s="123"/>
      <c r="I185" s="123"/>
      <c r="J185" s="123"/>
      <c r="K185" s="123"/>
      <c r="L185" s="127">
        <f t="shared" si="35"/>
        <v>0</v>
      </c>
      <c r="M185" s="123"/>
      <c r="N185" s="123"/>
      <c r="O185" s="123"/>
      <c r="P185" s="134">
        <f t="shared" si="36"/>
        <v>0</v>
      </c>
      <c r="Q185" s="123"/>
      <c r="R185" s="123"/>
      <c r="S185" s="123"/>
      <c r="T185" s="123"/>
      <c r="U185" s="135">
        <f t="shared" si="37"/>
        <v>0</v>
      </c>
      <c r="V185" s="123"/>
      <c r="W185" s="123"/>
      <c r="X185" s="123"/>
      <c r="Y185" s="123"/>
      <c r="Z185" s="123"/>
      <c r="AA185" s="123"/>
      <c r="AB185" s="146">
        <f t="shared" si="38"/>
        <v>0</v>
      </c>
      <c r="AC185" s="147">
        <f t="shared" si="39"/>
        <v>0</v>
      </c>
    </row>
    <row r="186" spans="1:29" ht="26.25">
      <c r="A186" s="145">
        <v>180</v>
      </c>
      <c r="B186" s="162">
        <f>DATA!A181</f>
        <v>0</v>
      </c>
      <c r="C186" s="144">
        <f>DATA!B181</f>
        <v>0</v>
      </c>
      <c r="D186" s="133">
        <f>DATA!C181</f>
        <v>0</v>
      </c>
      <c r="E186" s="148"/>
      <c r="F186" s="148"/>
      <c r="G186" s="123"/>
      <c r="H186" s="123"/>
      <c r="I186" s="123"/>
      <c r="J186" s="123"/>
      <c r="K186" s="123"/>
      <c r="L186" s="127">
        <f t="shared" si="35"/>
        <v>0</v>
      </c>
      <c r="M186" s="123"/>
      <c r="N186" s="123"/>
      <c r="O186" s="123"/>
      <c r="P186" s="134">
        <f t="shared" si="36"/>
        <v>0</v>
      </c>
      <c r="Q186" s="123"/>
      <c r="R186" s="123"/>
      <c r="S186" s="123"/>
      <c r="T186" s="123"/>
      <c r="U186" s="135">
        <f t="shared" si="37"/>
        <v>0</v>
      </c>
      <c r="V186" s="123"/>
      <c r="W186" s="123"/>
      <c r="X186" s="123"/>
      <c r="Y186" s="123"/>
      <c r="Z186" s="123"/>
      <c r="AA186" s="123"/>
      <c r="AB186" s="146">
        <f t="shared" si="38"/>
        <v>0</v>
      </c>
      <c r="AC186" s="147">
        <f t="shared" si="39"/>
        <v>0</v>
      </c>
    </row>
    <row r="187" spans="1:29" ht="26.25">
      <c r="A187" s="145">
        <v>181</v>
      </c>
      <c r="B187" s="162">
        <f>DATA!A182</f>
        <v>0</v>
      </c>
      <c r="C187" s="144">
        <f>DATA!B182</f>
        <v>0</v>
      </c>
      <c r="D187" s="133">
        <f>DATA!C182</f>
        <v>0</v>
      </c>
      <c r="E187" s="148"/>
      <c r="F187" s="148"/>
      <c r="G187" s="123"/>
      <c r="H187" s="123"/>
      <c r="I187" s="123"/>
      <c r="J187" s="123"/>
      <c r="K187" s="123"/>
      <c r="L187" s="127">
        <f t="shared" si="35"/>
        <v>0</v>
      </c>
      <c r="M187" s="123"/>
      <c r="N187" s="123"/>
      <c r="O187" s="123"/>
      <c r="P187" s="134">
        <f t="shared" si="36"/>
        <v>0</v>
      </c>
      <c r="Q187" s="123"/>
      <c r="R187" s="123"/>
      <c r="S187" s="123"/>
      <c r="T187" s="123"/>
      <c r="U187" s="135">
        <f t="shared" si="37"/>
        <v>0</v>
      </c>
      <c r="V187" s="123"/>
      <c r="W187" s="123"/>
      <c r="X187" s="123"/>
      <c r="Y187" s="123"/>
      <c r="Z187" s="123"/>
      <c r="AA187" s="123"/>
      <c r="AB187" s="146">
        <f t="shared" si="38"/>
        <v>0</v>
      </c>
      <c r="AC187" s="147">
        <f t="shared" si="39"/>
        <v>0</v>
      </c>
    </row>
    <row r="188" spans="1:29" ht="26.25">
      <c r="A188" s="145">
        <v>182</v>
      </c>
      <c r="B188" s="162">
        <f>DATA!A183</f>
        <v>0</v>
      </c>
      <c r="C188" s="144">
        <f>DATA!B183</f>
        <v>0</v>
      </c>
      <c r="D188" s="133">
        <f>DATA!C183</f>
        <v>0</v>
      </c>
      <c r="E188" s="148"/>
      <c r="F188" s="148"/>
      <c r="G188" s="123"/>
      <c r="H188" s="123"/>
      <c r="I188" s="123"/>
      <c r="J188" s="123"/>
      <c r="K188" s="123"/>
      <c r="L188" s="127">
        <f t="shared" si="35"/>
        <v>0</v>
      </c>
      <c r="M188" s="123"/>
      <c r="N188" s="123"/>
      <c r="O188" s="123"/>
      <c r="P188" s="134">
        <f t="shared" si="36"/>
        <v>0</v>
      </c>
      <c r="Q188" s="123"/>
      <c r="R188" s="123"/>
      <c r="S188" s="123"/>
      <c r="T188" s="123"/>
      <c r="U188" s="135">
        <f t="shared" si="37"/>
        <v>0</v>
      </c>
      <c r="V188" s="123"/>
      <c r="W188" s="123"/>
      <c r="X188" s="123"/>
      <c r="Y188" s="123"/>
      <c r="Z188" s="123"/>
      <c r="AA188" s="123"/>
      <c r="AB188" s="146">
        <f t="shared" si="38"/>
        <v>0</v>
      </c>
      <c r="AC188" s="147">
        <f t="shared" si="39"/>
        <v>0</v>
      </c>
    </row>
    <row r="189" spans="1:29" ht="26.25">
      <c r="A189" s="145">
        <v>183</v>
      </c>
      <c r="B189" s="162">
        <f>DATA!A184</f>
        <v>0</v>
      </c>
      <c r="C189" s="144">
        <f>DATA!B184</f>
        <v>0</v>
      </c>
      <c r="D189" s="133">
        <f>DATA!C184</f>
        <v>0</v>
      </c>
      <c r="E189" s="148"/>
      <c r="F189" s="148"/>
      <c r="G189" s="123"/>
      <c r="H189" s="123"/>
      <c r="I189" s="123"/>
      <c r="J189" s="123"/>
      <c r="K189" s="123"/>
      <c r="L189" s="127">
        <f t="shared" si="35"/>
        <v>0</v>
      </c>
      <c r="M189" s="123"/>
      <c r="N189" s="123"/>
      <c r="O189" s="123"/>
      <c r="P189" s="134">
        <f t="shared" si="36"/>
        <v>0</v>
      </c>
      <c r="Q189" s="123"/>
      <c r="R189" s="123"/>
      <c r="S189" s="123"/>
      <c r="T189" s="123"/>
      <c r="U189" s="135">
        <f t="shared" si="37"/>
        <v>0</v>
      </c>
      <c r="V189" s="123"/>
      <c r="W189" s="123"/>
      <c r="X189" s="123"/>
      <c r="Y189" s="123"/>
      <c r="Z189" s="123"/>
      <c r="AA189" s="123"/>
      <c r="AB189" s="146">
        <f t="shared" si="38"/>
        <v>0</v>
      </c>
      <c r="AC189" s="147">
        <f t="shared" si="39"/>
        <v>0</v>
      </c>
    </row>
    <row r="190" spans="1:29" ht="26.25">
      <c r="A190" s="145">
        <v>184</v>
      </c>
      <c r="B190" s="162">
        <f>DATA!A185</f>
        <v>0</v>
      </c>
      <c r="C190" s="144">
        <f>DATA!B185</f>
        <v>0</v>
      </c>
      <c r="D190" s="133">
        <f>DATA!C185</f>
        <v>0</v>
      </c>
      <c r="E190" s="148"/>
      <c r="F190" s="148"/>
      <c r="G190" s="123"/>
      <c r="H190" s="123"/>
      <c r="I190" s="123"/>
      <c r="J190" s="123"/>
      <c r="K190" s="123"/>
      <c r="L190" s="127">
        <f t="shared" si="35"/>
        <v>0</v>
      </c>
      <c r="M190" s="123"/>
      <c r="N190" s="123"/>
      <c r="O190" s="123"/>
      <c r="P190" s="134">
        <f t="shared" si="36"/>
        <v>0</v>
      </c>
      <c r="Q190" s="123"/>
      <c r="R190" s="123"/>
      <c r="S190" s="123"/>
      <c r="T190" s="123"/>
      <c r="U190" s="135">
        <f t="shared" si="37"/>
        <v>0</v>
      </c>
      <c r="V190" s="123"/>
      <c r="W190" s="123"/>
      <c r="X190" s="123"/>
      <c r="Y190" s="123"/>
      <c r="Z190" s="123"/>
      <c r="AA190" s="123"/>
      <c r="AB190" s="146">
        <f t="shared" si="38"/>
        <v>0</v>
      </c>
      <c r="AC190" s="147">
        <f t="shared" si="39"/>
        <v>0</v>
      </c>
    </row>
    <row r="191" spans="1:29" ht="26.25">
      <c r="A191" s="145">
        <v>185</v>
      </c>
      <c r="B191" s="162">
        <f>DATA!A186</f>
        <v>0</v>
      </c>
      <c r="C191" s="144">
        <f>DATA!B186</f>
        <v>0</v>
      </c>
      <c r="D191" s="133">
        <f>DATA!C186</f>
        <v>0</v>
      </c>
      <c r="E191" s="148"/>
      <c r="F191" s="148"/>
      <c r="G191" s="123"/>
      <c r="H191" s="123"/>
      <c r="I191" s="123"/>
      <c r="J191" s="123"/>
      <c r="K191" s="123"/>
      <c r="L191" s="127">
        <f t="shared" si="35"/>
        <v>0</v>
      </c>
      <c r="M191" s="123"/>
      <c r="N191" s="123"/>
      <c r="O191" s="123"/>
      <c r="P191" s="134">
        <f t="shared" si="36"/>
        <v>0</v>
      </c>
      <c r="Q191" s="123"/>
      <c r="R191" s="123"/>
      <c r="S191" s="123"/>
      <c r="T191" s="123"/>
      <c r="U191" s="135">
        <f t="shared" si="37"/>
        <v>0</v>
      </c>
      <c r="V191" s="123"/>
      <c r="W191" s="123"/>
      <c r="X191" s="123"/>
      <c r="Y191" s="123"/>
      <c r="Z191" s="123"/>
      <c r="AA191" s="123"/>
      <c r="AB191" s="146">
        <f t="shared" si="38"/>
        <v>0</v>
      </c>
      <c r="AC191" s="147">
        <f t="shared" si="39"/>
        <v>0</v>
      </c>
    </row>
    <row r="192" spans="1:29" ht="26.25">
      <c r="A192" s="145">
        <v>186</v>
      </c>
      <c r="B192" s="162">
        <f>DATA!A187</f>
        <v>0</v>
      </c>
      <c r="C192" s="144">
        <f>DATA!B187</f>
        <v>0</v>
      </c>
      <c r="D192" s="133">
        <f>DATA!C187</f>
        <v>0</v>
      </c>
      <c r="E192" s="148"/>
      <c r="F192" s="148"/>
      <c r="G192" s="123"/>
      <c r="H192" s="123"/>
      <c r="I192" s="123"/>
      <c r="J192" s="123"/>
      <c r="K192" s="123"/>
      <c r="L192" s="127">
        <f t="shared" si="35"/>
        <v>0</v>
      </c>
      <c r="M192" s="123"/>
      <c r="N192" s="123"/>
      <c r="O192" s="123"/>
      <c r="P192" s="134">
        <f t="shared" si="36"/>
        <v>0</v>
      </c>
      <c r="Q192" s="123"/>
      <c r="R192" s="123"/>
      <c r="S192" s="123"/>
      <c r="T192" s="123"/>
      <c r="U192" s="135">
        <f t="shared" si="37"/>
        <v>0</v>
      </c>
      <c r="V192" s="123"/>
      <c r="W192" s="123"/>
      <c r="X192" s="123"/>
      <c r="Y192" s="123"/>
      <c r="Z192" s="123"/>
      <c r="AA192" s="123"/>
      <c r="AB192" s="146">
        <f t="shared" si="38"/>
        <v>0</v>
      </c>
      <c r="AC192" s="147">
        <f t="shared" si="39"/>
        <v>0</v>
      </c>
    </row>
    <row r="193" spans="1:29" ht="26.25">
      <c r="A193" s="145">
        <v>187</v>
      </c>
      <c r="B193" s="162">
        <f>DATA!A188</f>
        <v>0</v>
      </c>
      <c r="C193" s="144">
        <f>DATA!B188</f>
        <v>0</v>
      </c>
      <c r="D193" s="133">
        <f>DATA!C188</f>
        <v>0</v>
      </c>
      <c r="E193" s="148"/>
      <c r="F193" s="148"/>
      <c r="G193" s="123"/>
      <c r="H193" s="123"/>
      <c r="I193" s="123"/>
      <c r="J193" s="123"/>
      <c r="K193" s="123"/>
      <c r="L193" s="127">
        <f t="shared" si="35"/>
        <v>0</v>
      </c>
      <c r="M193" s="123"/>
      <c r="N193" s="123"/>
      <c r="O193" s="123"/>
      <c r="P193" s="134">
        <f t="shared" si="36"/>
        <v>0</v>
      </c>
      <c r="Q193" s="123"/>
      <c r="R193" s="123"/>
      <c r="S193" s="123"/>
      <c r="T193" s="123"/>
      <c r="U193" s="135">
        <f t="shared" si="37"/>
        <v>0</v>
      </c>
      <c r="V193" s="123"/>
      <c r="W193" s="123"/>
      <c r="X193" s="123"/>
      <c r="Y193" s="123"/>
      <c r="Z193" s="123"/>
      <c r="AA193" s="123"/>
      <c r="AB193" s="146">
        <f t="shared" si="38"/>
        <v>0</v>
      </c>
      <c r="AC193" s="147">
        <f t="shared" si="39"/>
        <v>0</v>
      </c>
    </row>
    <row r="194" spans="1:29" ht="26.25">
      <c r="A194" s="145">
        <v>188</v>
      </c>
      <c r="B194" s="162">
        <f>DATA!A189</f>
        <v>0</v>
      </c>
      <c r="C194" s="144">
        <f>DATA!B189</f>
        <v>0</v>
      </c>
      <c r="D194" s="133">
        <f>DATA!C189</f>
        <v>0</v>
      </c>
      <c r="E194" s="148"/>
      <c r="F194" s="148"/>
      <c r="G194" s="123"/>
      <c r="H194" s="123"/>
      <c r="I194" s="123"/>
      <c r="J194" s="123"/>
      <c r="K194" s="123"/>
      <c r="L194" s="127">
        <f t="shared" si="35"/>
        <v>0</v>
      </c>
      <c r="M194" s="123"/>
      <c r="N194" s="123"/>
      <c r="O194" s="123"/>
      <c r="P194" s="134">
        <f t="shared" si="36"/>
        <v>0</v>
      </c>
      <c r="Q194" s="123"/>
      <c r="R194" s="123"/>
      <c r="S194" s="123"/>
      <c r="T194" s="123"/>
      <c r="U194" s="135">
        <f t="shared" si="37"/>
        <v>0</v>
      </c>
      <c r="V194" s="123"/>
      <c r="W194" s="123"/>
      <c r="X194" s="123"/>
      <c r="Y194" s="123"/>
      <c r="Z194" s="123"/>
      <c r="AA194" s="123"/>
      <c r="AB194" s="146">
        <f t="shared" si="38"/>
        <v>0</v>
      </c>
      <c r="AC194" s="147">
        <f t="shared" si="39"/>
        <v>0</v>
      </c>
    </row>
    <row r="195" spans="1:29" ht="26.25">
      <c r="A195" s="145">
        <v>189</v>
      </c>
      <c r="B195" s="162">
        <f>DATA!A190</f>
        <v>0</v>
      </c>
      <c r="C195" s="144">
        <f>DATA!B190</f>
        <v>0</v>
      </c>
      <c r="D195" s="133">
        <f>DATA!C190</f>
        <v>0</v>
      </c>
      <c r="E195" s="148"/>
      <c r="F195" s="148"/>
      <c r="G195" s="123"/>
      <c r="H195" s="123"/>
      <c r="I195" s="123"/>
      <c r="J195" s="123"/>
      <c r="K195" s="123"/>
      <c r="L195" s="127">
        <f t="shared" si="35"/>
        <v>0</v>
      </c>
      <c r="M195" s="123"/>
      <c r="N195" s="123"/>
      <c r="O195" s="123"/>
      <c r="P195" s="134">
        <f t="shared" si="36"/>
        <v>0</v>
      </c>
      <c r="Q195" s="123"/>
      <c r="R195" s="123"/>
      <c r="S195" s="123"/>
      <c r="T195" s="123"/>
      <c r="U195" s="135">
        <f t="shared" si="37"/>
        <v>0</v>
      </c>
      <c r="V195" s="123"/>
      <c r="W195" s="123"/>
      <c r="X195" s="123"/>
      <c r="Y195" s="123"/>
      <c r="Z195" s="123"/>
      <c r="AA195" s="123"/>
      <c r="AB195" s="146">
        <f t="shared" si="38"/>
        <v>0</v>
      </c>
      <c r="AC195" s="147">
        <f t="shared" si="39"/>
        <v>0</v>
      </c>
    </row>
    <row r="196" spans="1:29" ht="26.25">
      <c r="A196" s="145">
        <v>190</v>
      </c>
      <c r="B196" s="162">
        <f>DATA!A191</f>
        <v>0</v>
      </c>
      <c r="C196" s="144">
        <f>DATA!B191</f>
        <v>0</v>
      </c>
      <c r="D196" s="133">
        <f>DATA!C191</f>
        <v>0</v>
      </c>
      <c r="E196" s="148"/>
      <c r="F196" s="148"/>
      <c r="G196" s="123"/>
      <c r="H196" s="123"/>
      <c r="I196" s="123"/>
      <c r="J196" s="123"/>
      <c r="K196" s="123"/>
      <c r="L196" s="127">
        <f t="shared" si="35"/>
        <v>0</v>
      </c>
      <c r="M196" s="123"/>
      <c r="N196" s="123"/>
      <c r="O196" s="123"/>
      <c r="P196" s="134">
        <f t="shared" si="36"/>
        <v>0</v>
      </c>
      <c r="Q196" s="123"/>
      <c r="R196" s="123"/>
      <c r="S196" s="123"/>
      <c r="T196" s="123"/>
      <c r="U196" s="135">
        <f t="shared" si="37"/>
        <v>0</v>
      </c>
      <c r="V196" s="123"/>
      <c r="W196" s="123"/>
      <c r="X196" s="123"/>
      <c r="Y196" s="123"/>
      <c r="Z196" s="123"/>
      <c r="AA196" s="123"/>
      <c r="AB196" s="146">
        <f t="shared" si="38"/>
        <v>0</v>
      </c>
      <c r="AC196" s="147">
        <f t="shared" si="39"/>
        <v>0</v>
      </c>
    </row>
    <row r="197" spans="1:29" ht="26.25">
      <c r="A197" s="145">
        <v>191</v>
      </c>
      <c r="B197" s="162">
        <f>DATA!A192</f>
        <v>0</v>
      </c>
      <c r="C197" s="144">
        <f>DATA!B192</f>
        <v>0</v>
      </c>
      <c r="D197" s="133">
        <f>DATA!C192</f>
        <v>0</v>
      </c>
      <c r="E197" s="148"/>
      <c r="F197" s="148"/>
      <c r="G197" s="123"/>
      <c r="H197" s="123"/>
      <c r="I197" s="123"/>
      <c r="J197" s="123"/>
      <c r="K197" s="123"/>
      <c r="L197" s="127">
        <f t="shared" si="35"/>
        <v>0</v>
      </c>
      <c r="M197" s="123"/>
      <c r="N197" s="123"/>
      <c r="O197" s="123"/>
      <c r="P197" s="134">
        <f t="shared" si="36"/>
        <v>0</v>
      </c>
      <c r="Q197" s="123"/>
      <c r="R197" s="123"/>
      <c r="S197" s="123"/>
      <c r="T197" s="123"/>
      <c r="U197" s="135">
        <f t="shared" si="37"/>
        <v>0</v>
      </c>
      <c r="V197" s="123"/>
      <c r="W197" s="123"/>
      <c r="X197" s="123"/>
      <c r="Y197" s="123"/>
      <c r="Z197" s="123"/>
      <c r="AA197" s="123"/>
      <c r="AB197" s="146">
        <f t="shared" si="38"/>
        <v>0</v>
      </c>
      <c r="AC197" s="147">
        <f t="shared" si="39"/>
        <v>0</v>
      </c>
    </row>
    <row r="198" spans="1:29" ht="26.25">
      <c r="A198" s="145">
        <v>192</v>
      </c>
      <c r="B198" s="162">
        <f>DATA!A193</f>
        <v>0</v>
      </c>
      <c r="C198" s="144">
        <f>DATA!B193</f>
        <v>0</v>
      </c>
      <c r="D198" s="133">
        <f>DATA!C193</f>
        <v>0</v>
      </c>
      <c r="E198" s="148"/>
      <c r="F198" s="148"/>
      <c r="G198" s="123"/>
      <c r="H198" s="123"/>
      <c r="I198" s="123"/>
      <c r="J198" s="123"/>
      <c r="K198" s="123"/>
      <c r="L198" s="127">
        <f t="shared" si="35"/>
        <v>0</v>
      </c>
      <c r="M198" s="123"/>
      <c r="N198" s="123"/>
      <c r="O198" s="123"/>
      <c r="P198" s="134">
        <f t="shared" si="36"/>
        <v>0</v>
      </c>
      <c r="Q198" s="123"/>
      <c r="R198" s="123"/>
      <c r="S198" s="123"/>
      <c r="T198" s="123"/>
      <c r="U198" s="135">
        <f t="shared" si="37"/>
        <v>0</v>
      </c>
      <c r="V198" s="123"/>
      <c r="W198" s="123"/>
      <c r="X198" s="123"/>
      <c r="Y198" s="123"/>
      <c r="Z198" s="123"/>
      <c r="AA198" s="123"/>
      <c r="AB198" s="146">
        <f t="shared" si="38"/>
        <v>0</v>
      </c>
      <c r="AC198" s="147">
        <f t="shared" si="39"/>
        <v>0</v>
      </c>
    </row>
    <row r="199" spans="1:29" ht="26.25">
      <c r="A199" s="145">
        <v>193</v>
      </c>
      <c r="B199" s="162">
        <f>DATA!A194</f>
        <v>0</v>
      </c>
      <c r="C199" s="144">
        <f>DATA!B194</f>
        <v>0</v>
      </c>
      <c r="D199" s="133">
        <f>DATA!C194</f>
        <v>0</v>
      </c>
      <c r="E199" s="148"/>
      <c r="F199" s="148"/>
      <c r="G199" s="123"/>
      <c r="H199" s="123"/>
      <c r="I199" s="123"/>
      <c r="J199" s="123"/>
      <c r="K199" s="123"/>
      <c r="L199" s="127">
        <f t="shared" si="35"/>
        <v>0</v>
      </c>
      <c r="M199" s="123"/>
      <c r="N199" s="123"/>
      <c r="O199" s="123"/>
      <c r="P199" s="134">
        <f t="shared" si="36"/>
        <v>0</v>
      </c>
      <c r="Q199" s="123"/>
      <c r="R199" s="123"/>
      <c r="S199" s="123"/>
      <c r="T199" s="123"/>
      <c r="U199" s="135">
        <f t="shared" si="37"/>
        <v>0</v>
      </c>
      <c r="V199" s="123"/>
      <c r="W199" s="123"/>
      <c r="X199" s="123"/>
      <c r="Y199" s="123"/>
      <c r="Z199" s="123"/>
      <c r="AA199" s="123"/>
      <c r="AB199" s="146">
        <f t="shared" si="38"/>
        <v>0</v>
      </c>
      <c r="AC199" s="147">
        <f t="shared" si="39"/>
        <v>0</v>
      </c>
    </row>
    <row r="200" spans="1:29" ht="26.25">
      <c r="A200" s="145">
        <v>194</v>
      </c>
      <c r="B200" s="162">
        <f>DATA!A195</f>
        <v>0</v>
      </c>
      <c r="C200" s="144">
        <f>DATA!B195</f>
        <v>0</v>
      </c>
      <c r="D200" s="133">
        <f>DATA!C195</f>
        <v>0</v>
      </c>
      <c r="E200" s="148"/>
      <c r="F200" s="148"/>
      <c r="G200" s="123"/>
      <c r="H200" s="123"/>
      <c r="I200" s="123"/>
      <c r="J200" s="123"/>
      <c r="K200" s="123"/>
      <c r="L200" s="127">
        <f t="shared" si="35"/>
        <v>0</v>
      </c>
      <c r="M200" s="123"/>
      <c r="N200" s="123"/>
      <c r="O200" s="123"/>
      <c r="P200" s="134">
        <f t="shared" si="36"/>
        <v>0</v>
      </c>
      <c r="Q200" s="123"/>
      <c r="R200" s="123"/>
      <c r="S200" s="123"/>
      <c r="T200" s="123"/>
      <c r="U200" s="135">
        <f t="shared" si="37"/>
        <v>0</v>
      </c>
      <c r="V200" s="123"/>
      <c r="W200" s="123"/>
      <c r="X200" s="123"/>
      <c r="Y200" s="123"/>
      <c r="Z200" s="123"/>
      <c r="AA200" s="123"/>
      <c r="AB200" s="146">
        <f t="shared" si="38"/>
        <v>0</v>
      </c>
      <c r="AC200" s="147">
        <f t="shared" si="39"/>
        <v>0</v>
      </c>
    </row>
    <row r="201" spans="1:29" ht="26.25">
      <c r="A201" s="145">
        <v>195</v>
      </c>
      <c r="B201" s="162">
        <f>DATA!A196</f>
        <v>0</v>
      </c>
      <c r="C201" s="144">
        <f>DATA!B196</f>
        <v>0</v>
      </c>
      <c r="D201" s="133">
        <f>DATA!C196</f>
        <v>0</v>
      </c>
      <c r="E201" s="148"/>
      <c r="F201" s="148"/>
      <c r="G201" s="123"/>
      <c r="H201" s="123"/>
      <c r="I201" s="123"/>
      <c r="J201" s="123"/>
      <c r="K201" s="123"/>
      <c r="L201" s="127">
        <f t="shared" si="35"/>
        <v>0</v>
      </c>
      <c r="M201" s="123"/>
      <c r="N201" s="123"/>
      <c r="O201" s="123"/>
      <c r="P201" s="134">
        <f t="shared" si="36"/>
        <v>0</v>
      </c>
      <c r="Q201" s="123"/>
      <c r="R201" s="123"/>
      <c r="S201" s="123"/>
      <c r="T201" s="123"/>
      <c r="U201" s="135">
        <f t="shared" si="37"/>
        <v>0</v>
      </c>
      <c r="V201" s="123"/>
      <c r="W201" s="123"/>
      <c r="X201" s="123"/>
      <c r="Y201" s="123"/>
      <c r="Z201" s="123"/>
      <c r="AA201" s="123"/>
      <c r="AB201" s="146">
        <f t="shared" si="38"/>
        <v>0</v>
      </c>
      <c r="AC201" s="147">
        <f t="shared" si="39"/>
        <v>0</v>
      </c>
    </row>
    <row r="202" spans="1:29" ht="26.25">
      <c r="A202" s="145">
        <v>196</v>
      </c>
      <c r="B202" s="162">
        <f>DATA!A197</f>
        <v>0</v>
      </c>
      <c r="C202" s="144">
        <f>DATA!B197</f>
        <v>0</v>
      </c>
      <c r="D202" s="133">
        <f>DATA!C197</f>
        <v>0</v>
      </c>
      <c r="E202" s="148"/>
      <c r="F202" s="148"/>
      <c r="G202" s="123"/>
      <c r="H202" s="123"/>
      <c r="I202" s="123"/>
      <c r="J202" s="123"/>
      <c r="K202" s="123"/>
      <c r="L202" s="127">
        <f t="shared" si="35"/>
        <v>0</v>
      </c>
      <c r="M202" s="123"/>
      <c r="N202" s="123"/>
      <c r="O202" s="123"/>
      <c r="P202" s="134">
        <f t="shared" si="36"/>
        <v>0</v>
      </c>
      <c r="Q202" s="123"/>
      <c r="R202" s="123"/>
      <c r="S202" s="123"/>
      <c r="T202" s="123"/>
      <c r="U202" s="135">
        <f t="shared" si="37"/>
        <v>0</v>
      </c>
      <c r="V202" s="123"/>
      <c r="W202" s="123"/>
      <c r="X202" s="123"/>
      <c r="Y202" s="123"/>
      <c r="Z202" s="123"/>
      <c r="AA202" s="123"/>
      <c r="AB202" s="146">
        <f t="shared" si="38"/>
        <v>0</v>
      </c>
      <c r="AC202" s="147">
        <f t="shared" si="39"/>
        <v>0</v>
      </c>
    </row>
    <row r="203" spans="1:29" ht="26.25">
      <c r="A203" s="145">
        <v>197</v>
      </c>
      <c r="B203" s="162">
        <f>DATA!A198</f>
        <v>0</v>
      </c>
      <c r="C203" s="144">
        <f>DATA!B198</f>
        <v>0</v>
      </c>
      <c r="D203" s="133">
        <f>DATA!C198</f>
        <v>0</v>
      </c>
      <c r="E203" s="148"/>
      <c r="F203" s="148"/>
      <c r="G203" s="123"/>
      <c r="H203" s="123"/>
      <c r="I203" s="123"/>
      <c r="J203" s="123"/>
      <c r="K203" s="123"/>
      <c r="L203" s="127">
        <f t="shared" si="35"/>
        <v>0</v>
      </c>
      <c r="M203" s="123"/>
      <c r="N203" s="123"/>
      <c r="O203" s="123"/>
      <c r="P203" s="134">
        <f t="shared" si="36"/>
        <v>0</v>
      </c>
      <c r="Q203" s="123"/>
      <c r="R203" s="123"/>
      <c r="S203" s="123"/>
      <c r="T203" s="123"/>
      <c r="U203" s="135">
        <f t="shared" si="37"/>
        <v>0</v>
      </c>
      <c r="V203" s="123"/>
      <c r="W203" s="123"/>
      <c r="X203" s="123"/>
      <c r="Y203" s="123"/>
      <c r="Z203" s="123"/>
      <c r="AA203" s="123"/>
      <c r="AB203" s="146">
        <f t="shared" si="38"/>
        <v>0</v>
      </c>
      <c r="AC203" s="147">
        <f t="shared" si="39"/>
        <v>0</v>
      </c>
    </row>
    <row r="204" spans="1:29" ht="26.25">
      <c r="A204" s="145">
        <v>198</v>
      </c>
      <c r="B204" s="162">
        <f>DATA!A199</f>
        <v>0</v>
      </c>
      <c r="C204" s="144">
        <f>DATA!B199</f>
        <v>0</v>
      </c>
      <c r="D204" s="133">
        <f>DATA!C199</f>
        <v>0</v>
      </c>
      <c r="E204" s="148"/>
      <c r="F204" s="148"/>
      <c r="G204" s="123"/>
      <c r="H204" s="123"/>
      <c r="I204" s="123"/>
      <c r="J204" s="123"/>
      <c r="K204" s="123"/>
      <c r="L204" s="127">
        <f t="shared" si="35"/>
        <v>0</v>
      </c>
      <c r="M204" s="123"/>
      <c r="N204" s="123"/>
      <c r="O204" s="123"/>
      <c r="P204" s="134">
        <f t="shared" si="36"/>
        <v>0</v>
      </c>
      <c r="Q204" s="123"/>
      <c r="R204" s="123"/>
      <c r="S204" s="123"/>
      <c r="T204" s="123"/>
      <c r="U204" s="135">
        <f t="shared" si="37"/>
        <v>0</v>
      </c>
      <c r="V204" s="123"/>
      <c r="W204" s="123"/>
      <c r="X204" s="123"/>
      <c r="Y204" s="123"/>
      <c r="Z204" s="123"/>
      <c r="AA204" s="123"/>
      <c r="AB204" s="146">
        <f t="shared" si="38"/>
        <v>0</v>
      </c>
      <c r="AC204" s="147">
        <f t="shared" si="39"/>
        <v>0</v>
      </c>
    </row>
    <row r="205" spans="1:29" ht="26.25">
      <c r="A205" s="145">
        <v>199</v>
      </c>
      <c r="B205" s="162">
        <f>DATA!A200</f>
        <v>0</v>
      </c>
      <c r="C205" s="144">
        <f>DATA!B200</f>
        <v>0</v>
      </c>
      <c r="D205" s="133">
        <f>DATA!C200</f>
        <v>0</v>
      </c>
      <c r="E205" s="148"/>
      <c r="F205" s="148"/>
      <c r="G205" s="123"/>
      <c r="H205" s="123"/>
      <c r="I205" s="123"/>
      <c r="J205" s="123"/>
      <c r="K205" s="123"/>
      <c r="L205" s="127">
        <f t="shared" si="35"/>
        <v>0</v>
      </c>
      <c r="M205" s="123"/>
      <c r="N205" s="123"/>
      <c r="O205" s="123"/>
      <c r="P205" s="134">
        <f t="shared" si="36"/>
        <v>0</v>
      </c>
      <c r="Q205" s="123"/>
      <c r="R205" s="123"/>
      <c r="S205" s="123"/>
      <c r="T205" s="123"/>
      <c r="U205" s="135">
        <f t="shared" si="37"/>
        <v>0</v>
      </c>
      <c r="V205" s="123"/>
      <c r="W205" s="123"/>
      <c r="X205" s="123"/>
      <c r="Y205" s="123"/>
      <c r="Z205" s="123"/>
      <c r="AA205" s="123"/>
      <c r="AB205" s="146">
        <f t="shared" si="38"/>
        <v>0</v>
      </c>
      <c r="AC205" s="147">
        <f t="shared" si="39"/>
        <v>0</v>
      </c>
    </row>
  </sheetData>
  <mergeCells count="6">
    <mergeCell ref="V5:AB5"/>
    <mergeCell ref="AC5:AC6"/>
    <mergeCell ref="A1:K1"/>
    <mergeCell ref="E5:L5"/>
    <mergeCell ref="M5:P5"/>
    <mergeCell ref="Q5:U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 filterMode="1"/>
  <dimension ref="A1:AA124"/>
  <sheetViews>
    <sheetView topLeftCell="A2" workbookViewId="0">
      <selection activeCell="E1" sqref="E1"/>
    </sheetView>
  </sheetViews>
  <sheetFormatPr defaultRowHeight="15"/>
  <cols>
    <col min="1" max="1" width="31.5703125" bestFit="1" customWidth="1"/>
    <col min="3" max="3" width="9.140625" style="136"/>
    <col min="15" max="15" width="8.5703125" customWidth="1"/>
  </cols>
  <sheetData>
    <row r="1" spans="1:27" s="96" customFormat="1" ht="38.25" hidden="1">
      <c r="A1" s="107" t="s">
        <v>43</v>
      </c>
      <c r="B1" s="82" t="s">
        <v>16</v>
      </c>
      <c r="C1" s="106" t="s">
        <v>44</v>
      </c>
    </row>
    <row r="2" spans="1:27" s="96" customFormat="1" ht="15" customHeight="1">
      <c r="A2" s="105" t="s">
        <v>150</v>
      </c>
      <c r="B2" s="104" t="s">
        <v>45</v>
      </c>
      <c r="C2" s="113">
        <v>12500</v>
      </c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</row>
    <row r="3" spans="1:27" s="96" customFormat="1" ht="15" customHeight="1">
      <c r="A3" s="105" t="s">
        <v>151</v>
      </c>
      <c r="B3" s="103" t="s">
        <v>46</v>
      </c>
      <c r="C3" s="113">
        <v>23000</v>
      </c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</row>
    <row r="4" spans="1:27" s="96" customFormat="1" ht="15" customHeight="1">
      <c r="A4" s="105" t="s">
        <v>47</v>
      </c>
      <c r="B4" s="103" t="s">
        <v>46</v>
      </c>
      <c r="C4" s="113">
        <v>28000</v>
      </c>
      <c r="H4" s="191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</row>
    <row r="5" spans="1:27" s="96" customFormat="1" ht="15" customHeight="1">
      <c r="A5" s="105" t="s">
        <v>152</v>
      </c>
      <c r="B5" s="103" t="s">
        <v>48</v>
      </c>
      <c r="C5" s="113">
        <v>30500</v>
      </c>
    </row>
    <row r="6" spans="1:27" s="96" customFormat="1" ht="15" customHeight="1">
      <c r="A6" s="105" t="s">
        <v>153</v>
      </c>
      <c r="B6" s="83" t="s">
        <v>21</v>
      </c>
      <c r="C6" s="113">
        <v>2000</v>
      </c>
    </row>
    <row r="7" spans="1:27" s="96" customFormat="1" ht="15" customHeight="1">
      <c r="A7" s="105" t="s">
        <v>154</v>
      </c>
      <c r="B7" s="83" t="s">
        <v>21</v>
      </c>
      <c r="C7" s="113">
        <v>10000</v>
      </c>
    </row>
    <row r="8" spans="1:27" s="96" customFormat="1" ht="15" customHeight="1">
      <c r="A8" s="105" t="s">
        <v>49</v>
      </c>
      <c r="B8" s="104" t="s">
        <v>21</v>
      </c>
      <c r="C8" s="113">
        <v>2900</v>
      </c>
    </row>
    <row r="9" spans="1:27" s="96" customFormat="1" ht="15" customHeight="1">
      <c r="A9" s="105" t="s">
        <v>50</v>
      </c>
      <c r="B9" s="108" t="s">
        <v>51</v>
      </c>
      <c r="C9" s="113">
        <v>1200</v>
      </c>
    </row>
    <row r="10" spans="1:27" s="96" customFormat="1" ht="15" customHeight="1">
      <c r="A10" s="105" t="s">
        <v>155</v>
      </c>
      <c r="B10" s="108" t="s">
        <v>51</v>
      </c>
      <c r="C10" s="113">
        <v>7900</v>
      </c>
    </row>
    <row r="11" spans="1:27" s="96" customFormat="1" ht="15" customHeight="1">
      <c r="A11" s="105" t="s">
        <v>156</v>
      </c>
      <c r="B11" s="103" t="s">
        <v>46</v>
      </c>
      <c r="C11" s="113">
        <v>1170</v>
      </c>
    </row>
    <row r="12" spans="1:27" s="96" customFormat="1" ht="15" customHeight="1">
      <c r="A12" s="105" t="s">
        <v>157</v>
      </c>
      <c r="B12" s="103" t="s">
        <v>48</v>
      </c>
      <c r="C12" s="113">
        <v>1170</v>
      </c>
    </row>
    <row r="13" spans="1:27" s="96" customFormat="1" ht="15" customHeight="1">
      <c r="A13" s="105" t="s">
        <v>158</v>
      </c>
      <c r="B13" s="83" t="s">
        <v>46</v>
      </c>
      <c r="C13" s="113">
        <v>9200</v>
      </c>
    </row>
    <row r="14" spans="1:27" s="96" customFormat="1" ht="15" customHeight="1">
      <c r="A14" s="105" t="s">
        <v>144</v>
      </c>
      <c r="B14" s="83" t="s">
        <v>46</v>
      </c>
      <c r="C14" s="113">
        <v>2950</v>
      </c>
    </row>
    <row r="15" spans="1:27" s="96" customFormat="1" ht="15" customHeight="1">
      <c r="A15" s="105" t="s">
        <v>145</v>
      </c>
      <c r="B15" s="103" t="s">
        <v>46</v>
      </c>
      <c r="C15" s="113">
        <v>3800</v>
      </c>
    </row>
    <row r="16" spans="1:27" s="96" customFormat="1" ht="15" customHeight="1">
      <c r="A16" s="105" t="s">
        <v>159</v>
      </c>
      <c r="B16" s="104" t="s">
        <v>48</v>
      </c>
      <c r="C16" s="113">
        <v>24500</v>
      </c>
    </row>
    <row r="17" spans="1:3" s="96" customFormat="1" ht="15" customHeight="1">
      <c r="A17" s="105" t="s">
        <v>160</v>
      </c>
      <c r="B17" s="104" t="s">
        <v>48</v>
      </c>
      <c r="C17" s="113">
        <v>21000</v>
      </c>
    </row>
    <row r="18" spans="1:3" s="96" customFormat="1" ht="15" customHeight="1">
      <c r="A18" s="105" t="s">
        <v>52</v>
      </c>
      <c r="B18" s="104" t="s">
        <v>48</v>
      </c>
      <c r="C18" s="113">
        <v>21500</v>
      </c>
    </row>
    <row r="19" spans="1:3" s="96" customFormat="1" ht="15" customHeight="1">
      <c r="A19" s="105" t="s">
        <v>146</v>
      </c>
      <c r="B19" s="104" t="s">
        <v>53</v>
      </c>
      <c r="C19" s="113">
        <v>1950</v>
      </c>
    </row>
    <row r="20" spans="1:3" s="96" customFormat="1" ht="15" customHeight="1">
      <c r="A20" s="105" t="s">
        <v>161</v>
      </c>
      <c r="B20" s="104" t="s">
        <v>53</v>
      </c>
      <c r="C20" s="113">
        <v>295</v>
      </c>
    </row>
    <row r="21" spans="1:3" s="96" customFormat="1" ht="15" customHeight="1">
      <c r="A21" s="105" t="s">
        <v>54</v>
      </c>
      <c r="B21" s="104" t="s">
        <v>48</v>
      </c>
      <c r="C21" s="113">
        <v>2600</v>
      </c>
    </row>
    <row r="22" spans="1:3" s="96" customFormat="1" ht="15" customHeight="1">
      <c r="A22" s="105" t="s">
        <v>147</v>
      </c>
      <c r="B22" s="104" t="s">
        <v>55</v>
      </c>
      <c r="C22" s="113">
        <v>43000</v>
      </c>
    </row>
    <row r="23" spans="1:3" s="96" customFormat="1" ht="15" customHeight="1">
      <c r="A23" s="105" t="s">
        <v>162</v>
      </c>
      <c r="B23" s="83" t="s">
        <v>46</v>
      </c>
      <c r="C23" s="113">
        <v>21000</v>
      </c>
    </row>
    <row r="24" spans="1:3" s="96" customFormat="1" ht="15" customHeight="1">
      <c r="A24" s="105" t="s">
        <v>163</v>
      </c>
      <c r="B24" s="104" t="s">
        <v>46</v>
      </c>
      <c r="C24" s="113">
        <v>12300</v>
      </c>
    </row>
    <row r="25" spans="1:3" s="96" customFormat="1" ht="15" customHeight="1">
      <c r="A25" s="105" t="s">
        <v>56</v>
      </c>
      <c r="B25" s="104" t="s">
        <v>57</v>
      </c>
      <c r="C25" s="113">
        <v>14000</v>
      </c>
    </row>
    <row r="26" spans="1:3" s="96" customFormat="1" ht="15" customHeight="1">
      <c r="A26" s="105" t="s">
        <v>58</v>
      </c>
      <c r="B26" s="104" t="s">
        <v>59</v>
      </c>
      <c r="C26" s="113">
        <v>32000</v>
      </c>
    </row>
    <row r="27" spans="1:3" s="96" customFormat="1" ht="15" customHeight="1">
      <c r="A27" s="105" t="s">
        <v>164</v>
      </c>
      <c r="B27" s="104" t="s">
        <v>48</v>
      </c>
      <c r="C27" s="113">
        <v>4000</v>
      </c>
    </row>
    <row r="28" spans="1:3" s="96" customFormat="1" ht="15" customHeight="1">
      <c r="A28" s="105" t="s">
        <v>165</v>
      </c>
      <c r="B28" s="104" t="s">
        <v>60</v>
      </c>
      <c r="C28" s="113">
        <v>3500</v>
      </c>
    </row>
    <row r="29" spans="1:3" s="96" customFormat="1" ht="15" customHeight="1">
      <c r="A29" s="105" t="s">
        <v>166</v>
      </c>
      <c r="B29" s="104" t="s">
        <v>57</v>
      </c>
      <c r="C29" s="113">
        <v>4500</v>
      </c>
    </row>
    <row r="30" spans="1:3" s="96" customFormat="1" ht="15" customHeight="1">
      <c r="A30" s="105" t="s">
        <v>167</v>
      </c>
      <c r="B30" s="104" t="s">
        <v>57</v>
      </c>
      <c r="C30" s="113">
        <v>9500</v>
      </c>
    </row>
    <row r="31" spans="1:3" s="96" customFormat="1" ht="15" customHeight="1">
      <c r="A31" s="105" t="s">
        <v>168</v>
      </c>
      <c r="B31" s="104" t="s">
        <v>57</v>
      </c>
      <c r="C31" s="113">
        <v>14000</v>
      </c>
    </row>
    <row r="32" spans="1:3" s="96" customFormat="1" ht="15" customHeight="1">
      <c r="A32" s="105" t="s">
        <v>169</v>
      </c>
      <c r="B32" s="104" t="s">
        <v>57</v>
      </c>
      <c r="C32" s="113">
        <v>20500</v>
      </c>
    </row>
    <row r="33" spans="1:3" s="96" customFormat="1" ht="15" customHeight="1">
      <c r="A33" s="105" t="s">
        <v>61</v>
      </c>
      <c r="B33" s="103" t="s">
        <v>62</v>
      </c>
      <c r="C33" s="113">
        <v>3000</v>
      </c>
    </row>
    <row r="34" spans="1:3" s="96" customFormat="1" ht="15" customHeight="1">
      <c r="A34" s="104" t="s">
        <v>63</v>
      </c>
      <c r="B34" s="103" t="s">
        <v>46</v>
      </c>
      <c r="C34" s="113">
        <v>10200</v>
      </c>
    </row>
    <row r="35" spans="1:3" s="96" customFormat="1" ht="15" customHeight="1">
      <c r="A35" s="105" t="s">
        <v>64</v>
      </c>
      <c r="B35" s="103" t="s">
        <v>51</v>
      </c>
      <c r="C35" s="113">
        <v>3000</v>
      </c>
    </row>
    <row r="36" spans="1:3" s="96" customFormat="1" ht="15" customHeight="1">
      <c r="A36" s="105" t="s">
        <v>218</v>
      </c>
      <c r="B36" s="103" t="s">
        <v>55</v>
      </c>
      <c r="C36" s="113">
        <v>4000</v>
      </c>
    </row>
    <row r="37" spans="1:3" s="96" customFormat="1" ht="15" customHeight="1">
      <c r="A37" s="105" t="s">
        <v>217</v>
      </c>
      <c r="B37" s="103" t="s">
        <v>55</v>
      </c>
      <c r="C37" s="113">
        <v>2800</v>
      </c>
    </row>
    <row r="38" spans="1:3" s="96" customFormat="1" ht="15" customHeight="1">
      <c r="A38" s="105" t="s">
        <v>219</v>
      </c>
      <c r="B38" s="103" t="s">
        <v>55</v>
      </c>
      <c r="C38" s="113">
        <v>4800</v>
      </c>
    </row>
    <row r="39" spans="1:3" s="96" customFormat="1" ht="15" customHeight="1">
      <c r="A39" s="105" t="s">
        <v>220</v>
      </c>
      <c r="B39" s="103" t="s">
        <v>55</v>
      </c>
      <c r="C39" s="113">
        <v>6300</v>
      </c>
    </row>
    <row r="40" spans="1:3" s="96" customFormat="1" ht="15" customHeight="1">
      <c r="A40" s="105" t="s">
        <v>221</v>
      </c>
      <c r="B40" s="103" t="s">
        <v>84</v>
      </c>
      <c r="C40" s="113">
        <v>3200</v>
      </c>
    </row>
    <row r="41" spans="1:3" s="96" customFormat="1" ht="15" customHeight="1">
      <c r="A41" s="105" t="s">
        <v>222</v>
      </c>
      <c r="B41" s="103" t="s">
        <v>84</v>
      </c>
      <c r="C41" s="113">
        <v>4000</v>
      </c>
    </row>
    <row r="42" spans="1:3" s="96" customFormat="1" ht="15" customHeight="1">
      <c r="A42" s="105" t="s">
        <v>65</v>
      </c>
      <c r="B42" s="103" t="s">
        <v>45</v>
      </c>
      <c r="C42" s="113">
        <v>2150</v>
      </c>
    </row>
    <row r="43" spans="1:3" s="96" customFormat="1" ht="15" customHeight="1">
      <c r="A43" s="105" t="s">
        <v>66</v>
      </c>
      <c r="B43" s="83" t="s">
        <v>57</v>
      </c>
      <c r="C43" s="113">
        <v>16200</v>
      </c>
    </row>
    <row r="44" spans="1:3" s="96" customFormat="1" ht="15" customHeight="1">
      <c r="A44" s="105" t="s">
        <v>67</v>
      </c>
      <c r="B44" s="83" t="s">
        <v>57</v>
      </c>
      <c r="C44" s="113">
        <v>7000</v>
      </c>
    </row>
    <row r="45" spans="1:3" s="96" customFormat="1" ht="15" customHeight="1">
      <c r="A45" s="105" t="s">
        <v>170</v>
      </c>
      <c r="B45" s="103" t="s">
        <v>68</v>
      </c>
      <c r="C45" s="113">
        <v>2500</v>
      </c>
    </row>
    <row r="46" spans="1:3" s="96" customFormat="1" ht="15" customHeight="1">
      <c r="A46" s="105" t="s">
        <v>148</v>
      </c>
      <c r="B46" s="83" t="s">
        <v>57</v>
      </c>
      <c r="C46" s="113">
        <v>12500</v>
      </c>
    </row>
    <row r="47" spans="1:3" s="96" customFormat="1" ht="15" customHeight="1">
      <c r="A47" s="105" t="s">
        <v>69</v>
      </c>
      <c r="B47" s="103" t="s">
        <v>48</v>
      </c>
      <c r="C47" s="113">
        <v>1250</v>
      </c>
    </row>
    <row r="48" spans="1:3" s="96" customFormat="1" ht="15" customHeight="1">
      <c r="A48" s="105" t="s">
        <v>171</v>
      </c>
      <c r="B48" s="103" t="s">
        <v>45</v>
      </c>
      <c r="C48" s="113">
        <v>2500</v>
      </c>
    </row>
    <row r="49" spans="1:3" s="96" customFormat="1" ht="15" customHeight="1">
      <c r="A49" s="105" t="s">
        <v>172</v>
      </c>
      <c r="B49" s="104" t="s">
        <v>48</v>
      </c>
      <c r="C49" s="113">
        <v>4000</v>
      </c>
    </row>
    <row r="50" spans="1:3" s="96" customFormat="1" ht="15" customHeight="1">
      <c r="A50" s="105" t="s">
        <v>173</v>
      </c>
      <c r="B50" s="103" t="s">
        <v>46</v>
      </c>
      <c r="C50" s="113">
        <v>99500</v>
      </c>
    </row>
    <row r="51" spans="1:3" s="96" customFormat="1" ht="15" customHeight="1">
      <c r="A51" s="105" t="s">
        <v>174</v>
      </c>
      <c r="B51" s="103" t="s">
        <v>46</v>
      </c>
      <c r="C51" s="117">
        <v>72000</v>
      </c>
    </row>
    <row r="52" spans="1:3" s="96" customFormat="1" ht="15" customHeight="1">
      <c r="A52" s="105" t="s">
        <v>175</v>
      </c>
      <c r="B52" s="83" t="s">
        <v>70</v>
      </c>
      <c r="C52" s="113">
        <v>2600</v>
      </c>
    </row>
    <row r="53" spans="1:3" s="96" customFormat="1" ht="15" customHeight="1">
      <c r="A53" s="105" t="s">
        <v>176</v>
      </c>
      <c r="B53" s="83" t="s">
        <v>70</v>
      </c>
      <c r="C53" s="113">
        <v>8100</v>
      </c>
    </row>
    <row r="54" spans="1:3" s="96" customFormat="1" ht="15" customHeight="1">
      <c r="A54" s="104" t="s">
        <v>71</v>
      </c>
      <c r="B54" s="83" t="s">
        <v>46</v>
      </c>
      <c r="C54" s="113">
        <v>200</v>
      </c>
    </row>
    <row r="55" spans="1:3" s="96" customFormat="1" ht="15" customHeight="1">
      <c r="A55" s="105" t="s">
        <v>149</v>
      </c>
      <c r="B55" s="103" t="s">
        <v>46</v>
      </c>
      <c r="C55" s="113">
        <v>75000</v>
      </c>
    </row>
    <row r="56" spans="1:3" s="96" customFormat="1" ht="15" customHeight="1">
      <c r="A56" s="105" t="s">
        <v>177</v>
      </c>
      <c r="B56" s="103" t="s">
        <v>70</v>
      </c>
      <c r="C56" s="113">
        <v>32000</v>
      </c>
    </row>
    <row r="57" spans="1:3" s="96" customFormat="1" ht="15" customHeight="1">
      <c r="A57" s="105" t="s">
        <v>178</v>
      </c>
      <c r="B57" s="103" t="s">
        <v>70</v>
      </c>
      <c r="C57" s="113">
        <v>32000</v>
      </c>
    </row>
    <row r="58" spans="1:3" s="96" customFormat="1" ht="15" customHeight="1">
      <c r="A58" s="105" t="s">
        <v>179</v>
      </c>
      <c r="B58" s="83" t="s">
        <v>72</v>
      </c>
      <c r="C58" s="113">
        <v>33000</v>
      </c>
    </row>
    <row r="59" spans="1:3" s="96" customFormat="1" ht="15" customHeight="1">
      <c r="A59" s="105" t="s">
        <v>73</v>
      </c>
      <c r="B59" s="103" t="s">
        <v>70</v>
      </c>
      <c r="C59" s="113">
        <v>14500</v>
      </c>
    </row>
    <row r="60" spans="1:3" s="96" customFormat="1" ht="15" customHeight="1">
      <c r="A60" s="105" t="s">
        <v>180</v>
      </c>
      <c r="B60" s="104" t="s">
        <v>70</v>
      </c>
      <c r="C60" s="113">
        <v>135000</v>
      </c>
    </row>
    <row r="61" spans="1:3" s="96" customFormat="1" ht="15" customHeight="1">
      <c r="A61" s="105" t="s">
        <v>74</v>
      </c>
      <c r="B61" s="104" t="s">
        <v>60</v>
      </c>
      <c r="C61" s="113">
        <v>22000</v>
      </c>
    </row>
    <row r="62" spans="1:3" s="96" customFormat="1" ht="15" customHeight="1">
      <c r="A62" s="105" t="s">
        <v>75</v>
      </c>
      <c r="B62" s="104" t="s">
        <v>76</v>
      </c>
      <c r="C62" s="113">
        <v>23000</v>
      </c>
    </row>
    <row r="63" spans="1:3" s="96" customFormat="1" ht="15" customHeight="1">
      <c r="A63" s="105" t="s">
        <v>77</v>
      </c>
      <c r="B63" s="109" t="s">
        <v>78</v>
      </c>
      <c r="C63" s="113">
        <v>1250</v>
      </c>
    </row>
    <row r="64" spans="1:3" s="96" customFormat="1" ht="15" customHeight="1">
      <c r="A64" s="105" t="s">
        <v>79</v>
      </c>
      <c r="B64" s="104" t="s">
        <v>45</v>
      </c>
      <c r="C64" s="113">
        <v>6900</v>
      </c>
    </row>
    <row r="65" spans="1:3" s="96" customFormat="1" ht="15" customHeight="1">
      <c r="A65" s="105" t="s">
        <v>80</v>
      </c>
      <c r="B65" s="104" t="s">
        <v>45</v>
      </c>
      <c r="C65" s="113">
        <v>12500</v>
      </c>
    </row>
    <row r="66" spans="1:3" s="96" customFormat="1" ht="15" customHeight="1">
      <c r="A66" s="105" t="s">
        <v>181</v>
      </c>
      <c r="B66" s="103" t="s">
        <v>70</v>
      </c>
      <c r="C66" s="113">
        <v>4800</v>
      </c>
    </row>
    <row r="67" spans="1:3" s="96" customFormat="1" ht="15" customHeight="1">
      <c r="A67" s="105" t="s">
        <v>182</v>
      </c>
      <c r="B67" s="103" t="s">
        <v>81</v>
      </c>
      <c r="C67" s="113">
        <v>26500</v>
      </c>
    </row>
    <row r="68" spans="1:3" s="96" customFormat="1" ht="15" customHeight="1">
      <c r="A68" s="105" t="s">
        <v>223</v>
      </c>
      <c r="B68" s="103" t="s">
        <v>81</v>
      </c>
      <c r="C68" s="113">
        <v>38000</v>
      </c>
    </row>
    <row r="69" spans="1:3" s="96" customFormat="1" ht="15" customHeight="1">
      <c r="A69" s="105" t="s">
        <v>82</v>
      </c>
      <c r="B69" s="103" t="s">
        <v>81</v>
      </c>
      <c r="C69" s="113">
        <v>27500</v>
      </c>
    </row>
    <row r="70" spans="1:3" s="96" customFormat="1" ht="15" customHeight="1">
      <c r="A70" s="105" t="s">
        <v>213</v>
      </c>
      <c r="B70" s="104" t="s">
        <v>83</v>
      </c>
      <c r="C70" s="113">
        <v>2500</v>
      </c>
    </row>
    <row r="71" spans="1:3" s="96" customFormat="1" ht="15" customHeight="1">
      <c r="A71" s="105" t="s">
        <v>214</v>
      </c>
      <c r="B71" s="104" t="s">
        <v>83</v>
      </c>
      <c r="C71" s="113">
        <v>8000</v>
      </c>
    </row>
    <row r="72" spans="1:3" s="96" customFormat="1" ht="15" customHeight="1">
      <c r="A72" s="105" t="s">
        <v>183</v>
      </c>
      <c r="B72" s="110" t="s">
        <v>57</v>
      </c>
      <c r="C72" s="113">
        <v>22000</v>
      </c>
    </row>
    <row r="73" spans="1:3" s="96" customFormat="1" ht="15" customHeight="1">
      <c r="A73" s="105" t="s">
        <v>184</v>
      </c>
      <c r="B73" s="110" t="s">
        <v>57</v>
      </c>
      <c r="C73" s="113">
        <v>22000</v>
      </c>
    </row>
    <row r="74" spans="1:3" s="96" customFormat="1" ht="15" customHeight="1">
      <c r="A74" s="105" t="s">
        <v>185</v>
      </c>
      <c r="B74" s="83" t="s">
        <v>57</v>
      </c>
      <c r="C74" s="113">
        <v>21000</v>
      </c>
    </row>
    <row r="75" spans="1:3" s="96" customFormat="1" ht="15" customHeight="1">
      <c r="A75" s="105" t="s">
        <v>186</v>
      </c>
      <c r="B75" s="83" t="s">
        <v>57</v>
      </c>
      <c r="C75" s="113">
        <v>21000</v>
      </c>
    </row>
    <row r="76" spans="1:3" s="96" customFormat="1" ht="15" customHeight="1">
      <c r="A76" s="105" t="s">
        <v>187</v>
      </c>
      <c r="B76" s="83" t="s">
        <v>57</v>
      </c>
      <c r="C76" s="113">
        <v>18500</v>
      </c>
    </row>
    <row r="77" spans="1:3" s="96" customFormat="1" ht="15" customHeight="1">
      <c r="A77" s="105" t="s">
        <v>188</v>
      </c>
      <c r="B77" s="83" t="s">
        <v>57</v>
      </c>
      <c r="C77" s="113">
        <v>18500</v>
      </c>
    </row>
    <row r="78" spans="1:3" s="96" customFormat="1" ht="15" customHeight="1">
      <c r="A78" s="105" t="s">
        <v>189</v>
      </c>
      <c r="B78" s="103" t="s">
        <v>57</v>
      </c>
      <c r="C78" s="113">
        <v>1900</v>
      </c>
    </row>
    <row r="79" spans="1:3" s="96" customFormat="1" ht="15" customHeight="1">
      <c r="A79" s="105" t="s">
        <v>190</v>
      </c>
      <c r="B79" s="103" t="s">
        <v>57</v>
      </c>
      <c r="C79" s="113">
        <v>1900</v>
      </c>
    </row>
    <row r="80" spans="1:3" s="96" customFormat="1" ht="15" customHeight="1">
      <c r="A80" s="105" t="s">
        <v>191</v>
      </c>
      <c r="B80" s="83" t="s">
        <v>57</v>
      </c>
      <c r="C80" s="113">
        <v>3400</v>
      </c>
    </row>
    <row r="81" spans="1:3" s="96" customFormat="1" ht="15" customHeight="1">
      <c r="A81" s="105" t="s">
        <v>85</v>
      </c>
      <c r="B81" s="104" t="s">
        <v>57</v>
      </c>
      <c r="C81" s="113">
        <v>18500</v>
      </c>
    </row>
    <row r="82" spans="1:3" s="96" customFormat="1" ht="15" customHeight="1">
      <c r="A82" s="105" t="s">
        <v>86</v>
      </c>
      <c r="B82" s="104" t="s">
        <v>57</v>
      </c>
      <c r="C82" s="113">
        <v>18500</v>
      </c>
    </row>
    <row r="83" spans="1:3" s="96" customFormat="1" ht="15" customHeight="1">
      <c r="A83" s="105" t="s">
        <v>87</v>
      </c>
      <c r="B83" s="104" t="s">
        <v>59</v>
      </c>
      <c r="C83" s="113">
        <v>5000</v>
      </c>
    </row>
    <row r="84" spans="1:3" s="96" customFormat="1" ht="15" customHeight="1">
      <c r="A84" s="105" t="s">
        <v>88</v>
      </c>
      <c r="B84" s="104" t="s">
        <v>59</v>
      </c>
      <c r="C84" s="113">
        <v>5000</v>
      </c>
    </row>
    <row r="85" spans="1:3" s="96" customFormat="1" ht="15" customHeight="1">
      <c r="A85" s="105" t="s">
        <v>89</v>
      </c>
      <c r="B85" s="103" t="s">
        <v>90</v>
      </c>
      <c r="C85" s="113">
        <v>11000</v>
      </c>
    </row>
    <row r="86" spans="1:3" s="96" customFormat="1" ht="15" customHeight="1">
      <c r="A86" s="105" t="s">
        <v>91</v>
      </c>
      <c r="B86" s="103" t="s">
        <v>70</v>
      </c>
      <c r="C86" s="113">
        <v>7000</v>
      </c>
    </row>
    <row r="87" spans="1:3" s="96" customFormat="1" ht="15" customHeight="1">
      <c r="A87" s="104" t="s">
        <v>91</v>
      </c>
      <c r="B87" s="103" t="s">
        <v>70</v>
      </c>
      <c r="C87" s="113">
        <v>9500</v>
      </c>
    </row>
    <row r="88" spans="1:3" s="96" customFormat="1" ht="15" customHeight="1">
      <c r="A88" s="104" t="s">
        <v>91</v>
      </c>
      <c r="B88" s="103" t="s">
        <v>70</v>
      </c>
      <c r="C88" s="113">
        <v>9500</v>
      </c>
    </row>
    <row r="89" spans="1:3" s="96" customFormat="1" ht="15" customHeight="1">
      <c r="A89" s="105" t="s">
        <v>92</v>
      </c>
      <c r="B89" s="104" t="s">
        <v>57</v>
      </c>
      <c r="C89" s="113">
        <v>9500</v>
      </c>
    </row>
    <row r="90" spans="1:3" s="96" customFormat="1" ht="15" customHeight="1">
      <c r="A90" s="105" t="s">
        <v>93</v>
      </c>
      <c r="B90" s="103" t="s">
        <v>59</v>
      </c>
      <c r="C90" s="113">
        <v>5400</v>
      </c>
    </row>
    <row r="91" spans="1:3" s="96" customFormat="1" ht="15" customHeight="1">
      <c r="A91" s="105" t="s">
        <v>192</v>
      </c>
      <c r="B91" s="111" t="s">
        <v>57</v>
      </c>
      <c r="C91" s="113">
        <v>4200</v>
      </c>
    </row>
    <row r="92" spans="1:3" s="96" customFormat="1" ht="15" customHeight="1">
      <c r="A92" s="105" t="s">
        <v>193</v>
      </c>
      <c r="B92" s="111" t="s">
        <v>57</v>
      </c>
      <c r="C92" s="113">
        <v>4200</v>
      </c>
    </row>
    <row r="93" spans="1:3" s="96" customFormat="1" ht="15" customHeight="1">
      <c r="A93" s="105" t="s">
        <v>194</v>
      </c>
      <c r="B93" s="103" t="s">
        <v>57</v>
      </c>
      <c r="C93" s="113">
        <v>16000</v>
      </c>
    </row>
    <row r="94" spans="1:3" s="96" customFormat="1" ht="15" customHeight="1">
      <c r="A94" s="105" t="s">
        <v>195</v>
      </c>
      <c r="B94" s="83" t="s">
        <v>57</v>
      </c>
      <c r="C94" s="113">
        <v>5200</v>
      </c>
    </row>
    <row r="95" spans="1:3" s="96" customFormat="1" ht="15" customHeight="1">
      <c r="A95" s="105" t="s">
        <v>94</v>
      </c>
      <c r="B95" s="83" t="s">
        <v>60</v>
      </c>
      <c r="C95" s="113">
        <v>24000</v>
      </c>
    </row>
    <row r="96" spans="1:3" s="96" customFormat="1" ht="15" customHeight="1">
      <c r="A96" s="105" t="s">
        <v>96</v>
      </c>
      <c r="B96" s="103" t="s">
        <v>70</v>
      </c>
      <c r="C96" s="115">
        <v>3500</v>
      </c>
    </row>
    <row r="97" spans="1:3" s="96" customFormat="1" ht="15" customHeight="1">
      <c r="A97" s="105" t="s">
        <v>196</v>
      </c>
      <c r="B97" s="103" t="s">
        <v>70</v>
      </c>
      <c r="C97" s="115">
        <v>3400</v>
      </c>
    </row>
    <row r="98" spans="1:3" s="96" customFormat="1" ht="15" customHeight="1">
      <c r="A98" s="105" t="s">
        <v>197</v>
      </c>
      <c r="B98" s="103" t="s">
        <v>70</v>
      </c>
      <c r="C98" s="115">
        <v>5500</v>
      </c>
    </row>
    <row r="99" spans="1:3" s="96" customFormat="1" ht="15" customHeight="1">
      <c r="A99" s="105" t="s">
        <v>198</v>
      </c>
      <c r="B99" s="103" t="s">
        <v>70</v>
      </c>
      <c r="C99" s="115">
        <v>8000</v>
      </c>
    </row>
    <row r="100" spans="1:3" s="96" customFormat="1" ht="15" customHeight="1">
      <c r="A100" s="105" t="s">
        <v>199</v>
      </c>
      <c r="B100" s="103" t="s">
        <v>70</v>
      </c>
      <c r="C100" s="117">
        <v>12000</v>
      </c>
    </row>
    <row r="101" spans="1:3" s="96" customFormat="1" ht="15" customHeight="1">
      <c r="A101" s="105" t="s">
        <v>200</v>
      </c>
      <c r="B101" s="103" t="s">
        <v>70</v>
      </c>
      <c r="C101" s="117">
        <v>17500</v>
      </c>
    </row>
    <row r="102" spans="1:3" s="96" customFormat="1" ht="15" customHeight="1">
      <c r="A102" s="105" t="s">
        <v>201</v>
      </c>
      <c r="B102" s="112" t="s">
        <v>95</v>
      </c>
      <c r="C102" s="114">
        <v>170</v>
      </c>
    </row>
    <row r="103" spans="1:3" s="96" customFormat="1" ht="15" hidden="1" customHeight="1">
      <c r="A103" s="109" t="s">
        <v>128</v>
      </c>
      <c r="B103" s="83" t="s">
        <v>57</v>
      </c>
      <c r="C103" s="115"/>
    </row>
    <row r="104" spans="1:3" s="96" customFormat="1" ht="15" customHeight="1">
      <c r="A104" s="105" t="s">
        <v>202</v>
      </c>
      <c r="B104" s="104" t="s">
        <v>95</v>
      </c>
      <c r="C104" s="114">
        <v>210</v>
      </c>
    </row>
    <row r="105" spans="1:3" s="96" customFormat="1" ht="15" customHeight="1">
      <c r="A105" s="105" t="s">
        <v>203</v>
      </c>
      <c r="B105" s="104" t="s">
        <v>95</v>
      </c>
      <c r="C105" s="114">
        <v>230</v>
      </c>
    </row>
    <row r="106" spans="1:3" s="96" customFormat="1" ht="15" customHeight="1">
      <c r="A106" s="105" t="s">
        <v>204</v>
      </c>
      <c r="B106" s="104" t="s">
        <v>95</v>
      </c>
      <c r="C106" s="114">
        <v>750</v>
      </c>
    </row>
    <row r="107" spans="1:3" s="96" customFormat="1" ht="15" customHeight="1">
      <c r="A107" s="105" t="s">
        <v>205</v>
      </c>
      <c r="B107" s="104" t="s">
        <v>95</v>
      </c>
      <c r="C107" s="114">
        <v>450</v>
      </c>
    </row>
    <row r="108" spans="1:3">
      <c r="A108" s="122" t="s">
        <v>206</v>
      </c>
      <c r="B108" s="122" t="s">
        <v>48</v>
      </c>
      <c r="C108" s="122">
        <v>260</v>
      </c>
    </row>
    <row r="109" spans="1:3">
      <c r="A109" s="137" t="s">
        <v>207</v>
      </c>
      <c r="B109" s="108" t="s">
        <v>51</v>
      </c>
      <c r="C109" s="150">
        <v>6200</v>
      </c>
    </row>
    <row r="110" spans="1:3">
      <c r="A110" s="122" t="s">
        <v>208</v>
      </c>
      <c r="B110" s="108" t="s">
        <v>45</v>
      </c>
      <c r="C110" s="149">
        <v>48000</v>
      </c>
    </row>
    <row r="111" spans="1:3">
      <c r="A111" s="137" t="s">
        <v>209</v>
      </c>
      <c r="B111" s="108" t="s">
        <v>46</v>
      </c>
      <c r="C111" s="149">
        <v>11200</v>
      </c>
    </row>
    <row r="112" spans="1:3">
      <c r="A112" s="155" t="s">
        <v>215</v>
      </c>
      <c r="B112" s="108" t="s">
        <v>57</v>
      </c>
      <c r="C112" s="149">
        <v>41000</v>
      </c>
    </row>
    <row r="113" spans="1:3">
      <c r="A113" s="155" t="s">
        <v>216</v>
      </c>
      <c r="B113" s="108" t="s">
        <v>57</v>
      </c>
      <c r="C113" s="149">
        <v>41000</v>
      </c>
    </row>
    <row r="114" spans="1:3">
      <c r="A114" s="155" t="s">
        <v>210</v>
      </c>
      <c r="B114" s="108" t="s">
        <v>211</v>
      </c>
      <c r="C114" s="149">
        <v>2600</v>
      </c>
    </row>
    <row r="115" spans="1:3">
      <c r="A115" s="155" t="s">
        <v>235</v>
      </c>
      <c r="B115" s="108" t="s">
        <v>62</v>
      </c>
      <c r="C115" s="149">
        <v>28500</v>
      </c>
    </row>
    <row r="116" spans="1:3">
      <c r="A116" s="155" t="s">
        <v>236</v>
      </c>
      <c r="B116" s="108" t="s">
        <v>90</v>
      </c>
      <c r="C116" s="149">
        <v>72000</v>
      </c>
    </row>
    <row r="117" spans="1:3">
      <c r="A117" s="155" t="s">
        <v>237</v>
      </c>
      <c r="B117" s="108" t="s">
        <v>90</v>
      </c>
      <c r="C117" s="149">
        <v>99000</v>
      </c>
    </row>
    <row r="118" spans="1:3">
      <c r="A118" s="155" t="s">
        <v>240</v>
      </c>
      <c r="B118" s="108" t="s">
        <v>48</v>
      </c>
      <c r="C118" s="149">
        <v>2500</v>
      </c>
    </row>
    <row r="119" spans="1:3">
      <c r="A119" s="155" t="s">
        <v>241</v>
      </c>
      <c r="B119" s="108" t="s">
        <v>48</v>
      </c>
      <c r="C119" s="149">
        <v>2000</v>
      </c>
    </row>
    <row r="120" spans="1:3">
      <c r="A120" s="155" t="s">
        <v>242</v>
      </c>
      <c r="B120" s="108" t="s">
        <v>48</v>
      </c>
      <c r="C120" s="149">
        <v>3500</v>
      </c>
    </row>
    <row r="121" spans="1:3">
      <c r="A121" s="155" t="s">
        <v>247</v>
      </c>
      <c r="B121" s="108" t="s">
        <v>55</v>
      </c>
      <c r="C121" s="149">
        <v>8000</v>
      </c>
    </row>
    <row r="122" spans="1:3">
      <c r="A122" s="155" t="s">
        <v>248</v>
      </c>
      <c r="B122" s="108" t="s">
        <v>57</v>
      </c>
      <c r="C122" s="149">
        <v>11000</v>
      </c>
    </row>
    <row r="123" spans="1:3">
      <c r="A123" s="155" t="s">
        <v>249</v>
      </c>
      <c r="B123" s="108" t="s">
        <v>45</v>
      </c>
      <c r="C123" s="149">
        <v>6800</v>
      </c>
    </row>
    <row r="124" spans="1:3">
      <c r="A124" s="155" t="s">
        <v>250</v>
      </c>
      <c r="B124" s="108" t="s">
        <v>45</v>
      </c>
      <c r="C124" s="149">
        <v>13800</v>
      </c>
    </row>
  </sheetData>
  <autoFilter ref="A1:C113">
    <filterColumn colId="2">
      <customFilters>
        <customFilter operator="greaterThan" val="0"/>
      </customFilters>
    </filterColumn>
  </autoFilter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PO GUI PHUNG</vt:lpstr>
      <vt:lpstr>PO IN RA TRINH KI</vt:lpstr>
      <vt:lpstr>LOC SO LUONG-TRINH KI</vt:lpstr>
      <vt:lpstr>THONG KE</vt:lpstr>
      <vt:lpstr>DATA</vt:lpstr>
      <vt:lpstr>'PO GUI PHUNG'!Print_Area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2016-11-07T03:14:09Z</dcterms:modified>
</cp:coreProperties>
</file>