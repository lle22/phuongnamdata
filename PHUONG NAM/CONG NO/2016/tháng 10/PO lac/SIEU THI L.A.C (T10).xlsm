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Default Extension="jpeg" ContentType="image/jpeg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5" codeName="{8C4F1C90-05EB-6A55-5F09-09C24B55AC0B}"/>
  <workbookPr filterPrivacy="1" codeName="ThisWorkbook"/>
  <bookViews>
    <workbookView xWindow="240" yWindow="165" windowWidth="14805" windowHeight="7950" tabRatio="506" firstSheet="1" activeTab="1"/>
  </bookViews>
  <sheets>
    <sheet name="PO GUI PHUNG" sheetId="9" state="hidden" r:id="rId1"/>
    <sheet name="PO IN RA TRINH KI" sheetId="7" r:id="rId2"/>
    <sheet name="LOC SO LUONG-TRINH KI" sheetId="14" state="hidden" r:id="rId3"/>
    <sheet name="THONG KE" sheetId="5" state="hidden" r:id="rId4"/>
    <sheet name="DATA" sheetId="6" state="hidden" r:id="rId5"/>
  </sheets>
  <definedNames>
    <definedName name="_xlnm._FilterDatabase" localSheetId="4" hidden="1">DATA!$A$1:$C$113</definedName>
    <definedName name="_xlnm._FilterDatabase" localSheetId="2" hidden="1">'LOC SO LUONG-TRINH KI'!$A$1:$C$192</definedName>
    <definedName name="_xlnm._FilterDatabase" localSheetId="0" hidden="1">'PO GUI PHUNG'!$A$14:$O$115</definedName>
    <definedName name="_xlnm._FilterDatabase" localSheetId="1" hidden="1">'PO IN RA TRINH KI'!$A$11:$H$114</definedName>
    <definedName name="_xlnm._FilterDatabase" localSheetId="3" hidden="1">'THONG KE'!$A$3:$AC$112</definedName>
    <definedName name="_xlnm.Print_Area" localSheetId="0">'PO GUI PHUNG'!$A$1:$O$137</definedName>
  </definedNames>
  <calcPr calcId="124519"/>
</workbook>
</file>

<file path=xl/calcChain.xml><?xml version="1.0" encoding="utf-8"?>
<calcChain xmlns="http://schemas.openxmlformats.org/spreadsheetml/2006/main">
  <c r="H28" i="7"/>
  <c r="H27"/>
  <c r="H26"/>
  <c r="H25"/>
  <c r="H24"/>
  <c r="H23"/>
  <c r="H22"/>
  <c r="H21"/>
  <c r="H20"/>
  <c r="H19"/>
  <c r="H18"/>
  <c r="H17"/>
  <c r="H16"/>
  <c r="H15"/>
  <c r="H14"/>
  <c r="H12"/>
  <c r="G28"/>
  <c r="G27"/>
  <c r="G26"/>
  <c r="G25"/>
  <c r="G24"/>
  <c r="G23"/>
  <c r="G22"/>
  <c r="G21"/>
  <c r="G20"/>
  <c r="G19"/>
  <c r="G18"/>
  <c r="G17"/>
  <c r="G16"/>
  <c r="G15"/>
  <c r="G14"/>
  <c r="G12"/>
  <c r="F113"/>
  <c r="F112"/>
  <c r="G112" s="1"/>
  <c r="F28"/>
  <c r="F27"/>
  <c r="F26"/>
  <c r="F25"/>
  <c r="F24"/>
  <c r="F23"/>
  <c r="F22"/>
  <c r="F21"/>
  <c r="F20"/>
  <c r="F19"/>
  <c r="F18"/>
  <c r="F17"/>
  <c r="F16"/>
  <c r="F15"/>
  <c r="F14"/>
  <c r="F12"/>
  <c r="H113" l="1"/>
  <c r="G113"/>
  <c r="H112"/>
  <c r="M16" i="9"/>
  <c r="N16" s="1"/>
  <c r="O16" s="1"/>
  <c r="M17"/>
  <c r="N17" s="1"/>
  <c r="O17" s="1"/>
  <c r="M18"/>
  <c r="N18" s="1"/>
  <c r="O18" s="1"/>
  <c r="M19"/>
  <c r="N19" s="1"/>
  <c r="O19" s="1"/>
  <c r="M20"/>
  <c r="N20" s="1"/>
  <c r="O20" s="1"/>
  <c r="M21"/>
  <c r="N21"/>
  <c r="O21" s="1"/>
  <c r="M22"/>
  <c r="N22" s="1"/>
  <c r="O22" s="1"/>
  <c r="M23"/>
  <c r="N23" s="1"/>
  <c r="O23" s="1"/>
  <c r="M24"/>
  <c r="N24" s="1"/>
  <c r="O24" s="1"/>
  <c r="M25"/>
  <c r="N25" s="1"/>
  <c r="O25" s="1"/>
  <c r="M26"/>
  <c r="N26" s="1"/>
  <c r="O26" s="1"/>
  <c r="M27"/>
  <c r="N27" s="1"/>
  <c r="O27" s="1"/>
  <c r="M28"/>
  <c r="N28" s="1"/>
  <c r="O28" s="1"/>
  <c r="M29"/>
  <c r="N29"/>
  <c r="O29" s="1"/>
  <c r="M30"/>
  <c r="N30" s="1"/>
  <c r="O30" s="1"/>
  <c r="M31"/>
  <c r="N31" s="1"/>
  <c r="O31" s="1"/>
  <c r="M32"/>
  <c r="N32" s="1"/>
  <c r="O32" s="1"/>
  <c r="M33"/>
  <c r="N33" s="1"/>
  <c r="O33" s="1"/>
  <c r="M34"/>
  <c r="N34" s="1"/>
  <c r="O34" s="1"/>
  <c r="M35"/>
  <c r="N35"/>
  <c r="O35" s="1"/>
  <c r="M36"/>
  <c r="N36" s="1"/>
  <c r="O36" s="1"/>
  <c r="M37"/>
  <c r="N37" s="1"/>
  <c r="O37" s="1"/>
  <c r="M38"/>
  <c r="N38" s="1"/>
  <c r="O38" s="1"/>
  <c r="M39"/>
  <c r="N39"/>
  <c r="O39" s="1"/>
  <c r="M40"/>
  <c r="N40" s="1"/>
  <c r="O40" s="1"/>
  <c r="M41"/>
  <c r="N41" s="1"/>
  <c r="O41" s="1"/>
  <c r="M42"/>
  <c r="N42" s="1"/>
  <c r="O42" s="1"/>
  <c r="M43"/>
  <c r="N43"/>
  <c r="O43" s="1"/>
  <c r="M44"/>
  <c r="N44" s="1"/>
  <c r="O44" s="1"/>
  <c r="M45"/>
  <c r="N45" s="1"/>
  <c r="O45" s="1"/>
  <c r="M46"/>
  <c r="N46" s="1"/>
  <c r="O46" s="1"/>
  <c r="M47"/>
  <c r="N47"/>
  <c r="O47" s="1"/>
  <c r="M48"/>
  <c r="N48" s="1"/>
  <c r="O48" s="1"/>
  <c r="M49"/>
  <c r="N49" s="1"/>
  <c r="O49" s="1"/>
  <c r="M50"/>
  <c r="N50" s="1"/>
  <c r="O50" s="1"/>
  <c r="M51"/>
  <c r="N51"/>
  <c r="O51" s="1"/>
  <c r="M52"/>
  <c r="N52" s="1"/>
  <c r="O52" s="1"/>
  <c r="M53"/>
  <c r="N53" s="1"/>
  <c r="O53" s="1"/>
  <c r="M54"/>
  <c r="N54" s="1"/>
  <c r="O54" s="1"/>
  <c r="M55"/>
  <c r="N55"/>
  <c r="O55" s="1"/>
  <c r="M56"/>
  <c r="N56" s="1"/>
  <c r="O56" s="1"/>
  <c r="M57"/>
  <c r="N57" s="1"/>
  <c r="O57" s="1"/>
  <c r="M58"/>
  <c r="N58" s="1"/>
  <c r="O58" s="1"/>
  <c r="M59"/>
  <c r="N59"/>
  <c r="O59" s="1"/>
  <c r="M60"/>
  <c r="N60" s="1"/>
  <c r="O60" s="1"/>
  <c r="M61"/>
  <c r="N61" s="1"/>
  <c r="O61" s="1"/>
  <c r="M62"/>
  <c r="N62" s="1"/>
  <c r="O62" s="1"/>
  <c r="M63"/>
  <c r="N63"/>
  <c r="O63" s="1"/>
  <c r="M64"/>
  <c r="N64" s="1"/>
  <c r="O64" s="1"/>
  <c r="M65"/>
  <c r="N65" s="1"/>
  <c r="O65" s="1"/>
  <c r="M66"/>
  <c r="N66" s="1"/>
  <c r="O66" s="1"/>
  <c r="M67"/>
  <c r="N67"/>
  <c r="O67" s="1"/>
  <c r="M68"/>
  <c r="N68" s="1"/>
  <c r="O68" s="1"/>
  <c r="M69"/>
  <c r="N69" s="1"/>
  <c r="O69" s="1"/>
  <c r="M70"/>
  <c r="N70" s="1"/>
  <c r="O70" s="1"/>
  <c r="M71"/>
  <c r="N71"/>
  <c r="O71" s="1"/>
  <c r="M72"/>
  <c r="N72" s="1"/>
  <c r="O72" s="1"/>
  <c r="M73"/>
  <c r="N73" s="1"/>
  <c r="O73" s="1"/>
  <c r="M74"/>
  <c r="N74" s="1"/>
  <c r="O74" s="1"/>
  <c r="M75"/>
  <c r="N75"/>
  <c r="O75" s="1"/>
  <c r="M76"/>
  <c r="N76" s="1"/>
  <c r="O76" s="1"/>
  <c r="M77"/>
  <c r="N77" s="1"/>
  <c r="O77" s="1"/>
  <c r="M78"/>
  <c r="N78" s="1"/>
  <c r="O78" s="1"/>
  <c r="M79"/>
  <c r="N79"/>
  <c r="O79" s="1"/>
  <c r="M80"/>
  <c r="N80" s="1"/>
  <c r="O80" s="1"/>
  <c r="M81"/>
  <c r="N81" s="1"/>
  <c r="O81" s="1"/>
  <c r="M82"/>
  <c r="N82" s="1"/>
  <c r="O82" s="1"/>
  <c r="M83"/>
  <c r="N83"/>
  <c r="O83" s="1"/>
  <c r="M84"/>
  <c r="N84" s="1"/>
  <c r="O84" s="1"/>
  <c r="M85"/>
  <c r="N85" s="1"/>
  <c r="O85" s="1"/>
  <c r="M86"/>
  <c r="N86" s="1"/>
  <c r="O86" s="1"/>
  <c r="M87"/>
  <c r="N87"/>
  <c r="O87" s="1"/>
  <c r="M88"/>
  <c r="N88" s="1"/>
  <c r="O88" s="1"/>
  <c r="M89"/>
  <c r="N89" s="1"/>
  <c r="O89" s="1"/>
  <c r="M90"/>
  <c r="N90" s="1"/>
  <c r="O90" s="1"/>
  <c r="M91"/>
  <c r="N91"/>
  <c r="O91" s="1"/>
  <c r="M92"/>
  <c r="N92" s="1"/>
  <c r="O92" s="1"/>
  <c r="M93"/>
  <c r="N93" s="1"/>
  <c r="O93" s="1"/>
  <c r="M94"/>
  <c r="N94" s="1"/>
  <c r="O94" s="1"/>
  <c r="M95"/>
  <c r="N95"/>
  <c r="O95" s="1"/>
  <c r="M96"/>
  <c r="N96" s="1"/>
  <c r="M97"/>
  <c r="N97" s="1"/>
  <c r="O97" s="1"/>
  <c r="M98"/>
  <c r="N98" s="1"/>
  <c r="M99"/>
  <c r="N99"/>
  <c r="O99" s="1"/>
  <c r="M100"/>
  <c r="N100" s="1"/>
  <c r="M101"/>
  <c r="N101" s="1"/>
  <c r="O101" s="1"/>
  <c r="M102"/>
  <c r="N102"/>
  <c r="O102" s="1"/>
  <c r="M103"/>
  <c r="N103" s="1"/>
  <c r="O103" s="1"/>
  <c r="M104"/>
  <c r="N104" s="1"/>
  <c r="O104" s="1"/>
  <c r="M105"/>
  <c r="N105" s="1"/>
  <c r="O105" s="1"/>
  <c r="M106"/>
  <c r="N106"/>
  <c r="O106" s="1"/>
  <c r="M107"/>
  <c r="N107" s="1"/>
  <c r="O107" s="1"/>
  <c r="M108"/>
  <c r="N108" s="1"/>
  <c r="O108" s="1"/>
  <c r="M109"/>
  <c r="N109" s="1"/>
  <c r="O109" s="1"/>
  <c r="M110"/>
  <c r="N110"/>
  <c r="O110" s="1"/>
  <c r="M111"/>
  <c r="N111" s="1"/>
  <c r="O111" s="1"/>
  <c r="M112"/>
  <c r="N112" s="1"/>
  <c r="O112" s="1"/>
  <c r="M113"/>
  <c r="N113" s="1"/>
  <c r="O113" s="1"/>
  <c r="M114"/>
  <c r="N114"/>
  <c r="O114" s="1"/>
  <c r="M15"/>
  <c r="E13" i="7"/>
  <c r="F13" s="1"/>
  <c r="E29"/>
  <c r="F29" s="1"/>
  <c r="G29" s="1"/>
  <c r="E30"/>
  <c r="F30" s="1"/>
  <c r="G30" s="1"/>
  <c r="E31"/>
  <c r="F31" s="1"/>
  <c r="G31" s="1"/>
  <c r="E32"/>
  <c r="F32" s="1"/>
  <c r="G32" s="1"/>
  <c r="E33"/>
  <c r="F33" s="1"/>
  <c r="G33" s="1"/>
  <c r="E34"/>
  <c r="F34" s="1"/>
  <c r="G34" s="1"/>
  <c r="E35"/>
  <c r="F35" s="1"/>
  <c r="G35" s="1"/>
  <c r="E36"/>
  <c r="F36" s="1"/>
  <c r="G36" s="1"/>
  <c r="E37"/>
  <c r="F37" s="1"/>
  <c r="G37" s="1"/>
  <c r="E38"/>
  <c r="F38" s="1"/>
  <c r="G38" s="1"/>
  <c r="E39"/>
  <c r="F39" s="1"/>
  <c r="G39" s="1"/>
  <c r="E40"/>
  <c r="F40" s="1"/>
  <c r="G40" s="1"/>
  <c r="E41"/>
  <c r="F41" s="1"/>
  <c r="G41" s="1"/>
  <c r="E42"/>
  <c r="F42" s="1"/>
  <c r="G42" s="1"/>
  <c r="E43"/>
  <c r="F43" s="1"/>
  <c r="G43" s="1"/>
  <c r="E44"/>
  <c r="F44" s="1"/>
  <c r="G44" s="1"/>
  <c r="E45"/>
  <c r="F45" s="1"/>
  <c r="G45" s="1"/>
  <c r="E46"/>
  <c r="F46" s="1"/>
  <c r="G46" s="1"/>
  <c r="E47"/>
  <c r="F47" s="1"/>
  <c r="G47" s="1"/>
  <c r="E48"/>
  <c r="F48" s="1"/>
  <c r="G48" s="1"/>
  <c r="E49"/>
  <c r="F49" s="1"/>
  <c r="G49" s="1"/>
  <c r="E50"/>
  <c r="F50" s="1"/>
  <c r="G50" s="1"/>
  <c r="E51"/>
  <c r="F51" s="1"/>
  <c r="G51" s="1"/>
  <c r="E52"/>
  <c r="F52" s="1"/>
  <c r="G52" s="1"/>
  <c r="E53"/>
  <c r="F53" s="1"/>
  <c r="G53" s="1"/>
  <c r="E54"/>
  <c r="F54" s="1"/>
  <c r="G54" s="1"/>
  <c r="E55"/>
  <c r="F55" s="1"/>
  <c r="G55" s="1"/>
  <c r="H55" s="1"/>
  <c r="E56"/>
  <c r="F56" s="1"/>
  <c r="G56" s="1"/>
  <c r="H56" s="1"/>
  <c r="E57"/>
  <c r="F57" s="1"/>
  <c r="G57" s="1"/>
  <c r="H57" s="1"/>
  <c r="E58"/>
  <c r="F58" s="1"/>
  <c r="G58" s="1"/>
  <c r="H58" s="1"/>
  <c r="E59"/>
  <c r="F59" s="1"/>
  <c r="G59" s="1"/>
  <c r="H59" s="1"/>
  <c r="E60"/>
  <c r="F60" s="1"/>
  <c r="G60" s="1"/>
  <c r="H60" s="1"/>
  <c r="E61"/>
  <c r="F61" s="1"/>
  <c r="G61" s="1"/>
  <c r="H61" s="1"/>
  <c r="E62"/>
  <c r="F62" s="1"/>
  <c r="G62" s="1"/>
  <c r="H62" s="1"/>
  <c r="E63"/>
  <c r="F63" s="1"/>
  <c r="G63" s="1"/>
  <c r="H63" s="1"/>
  <c r="E64"/>
  <c r="F64" s="1"/>
  <c r="G64" s="1"/>
  <c r="H64" s="1"/>
  <c r="E65"/>
  <c r="F65" s="1"/>
  <c r="G65" s="1"/>
  <c r="H65" s="1"/>
  <c r="E66"/>
  <c r="F66" s="1"/>
  <c r="G66" s="1"/>
  <c r="H66" s="1"/>
  <c r="E67"/>
  <c r="F67" s="1"/>
  <c r="G67" s="1"/>
  <c r="H67" s="1"/>
  <c r="E68"/>
  <c r="F68" s="1"/>
  <c r="G68" s="1"/>
  <c r="H68" s="1"/>
  <c r="E69"/>
  <c r="F69" s="1"/>
  <c r="G69" s="1"/>
  <c r="H69" s="1"/>
  <c r="E70"/>
  <c r="F70" s="1"/>
  <c r="G70" s="1"/>
  <c r="H70" s="1"/>
  <c r="E71"/>
  <c r="F71" s="1"/>
  <c r="G71" s="1"/>
  <c r="H71" s="1"/>
  <c r="E72"/>
  <c r="F72" s="1"/>
  <c r="G72" s="1"/>
  <c r="H72" s="1"/>
  <c r="E73"/>
  <c r="F73" s="1"/>
  <c r="G73" s="1"/>
  <c r="H73" s="1"/>
  <c r="E74"/>
  <c r="F74" s="1"/>
  <c r="G74" s="1"/>
  <c r="H74" s="1"/>
  <c r="E75"/>
  <c r="F75" s="1"/>
  <c r="G75" s="1"/>
  <c r="H75" s="1"/>
  <c r="E76"/>
  <c r="F76" s="1"/>
  <c r="G76" s="1"/>
  <c r="H76" s="1"/>
  <c r="E77"/>
  <c r="F77" s="1"/>
  <c r="G77" s="1"/>
  <c r="H77" s="1"/>
  <c r="E78"/>
  <c r="F78" s="1"/>
  <c r="G78" s="1"/>
  <c r="H78" s="1"/>
  <c r="E79"/>
  <c r="F79" s="1"/>
  <c r="G79" s="1"/>
  <c r="H79" s="1"/>
  <c r="E80"/>
  <c r="F80" s="1"/>
  <c r="G80" s="1"/>
  <c r="H80" s="1"/>
  <c r="E81"/>
  <c r="F81" s="1"/>
  <c r="G81" s="1"/>
  <c r="H81" s="1"/>
  <c r="E82"/>
  <c r="F82" s="1"/>
  <c r="G82" s="1"/>
  <c r="H82" s="1"/>
  <c r="E83"/>
  <c r="F83" s="1"/>
  <c r="G83" s="1"/>
  <c r="H83" s="1"/>
  <c r="E84"/>
  <c r="F84" s="1"/>
  <c r="G84" s="1"/>
  <c r="H84" s="1"/>
  <c r="E85"/>
  <c r="F85" s="1"/>
  <c r="G85" s="1"/>
  <c r="H85" s="1"/>
  <c r="E86"/>
  <c r="F86" s="1"/>
  <c r="G86" s="1"/>
  <c r="H86" s="1"/>
  <c r="E87"/>
  <c r="F87" s="1"/>
  <c r="G87" s="1"/>
  <c r="H87" s="1"/>
  <c r="E88"/>
  <c r="F88" s="1"/>
  <c r="G88" s="1"/>
  <c r="H88" s="1"/>
  <c r="E89"/>
  <c r="F89" s="1"/>
  <c r="G89" s="1"/>
  <c r="H89" s="1"/>
  <c r="E90"/>
  <c r="F90" s="1"/>
  <c r="G90" s="1"/>
  <c r="H90" s="1"/>
  <c r="E91"/>
  <c r="F91" s="1"/>
  <c r="G91" s="1"/>
  <c r="H91" s="1"/>
  <c r="E92"/>
  <c r="F92" s="1"/>
  <c r="G92" s="1"/>
  <c r="H92" s="1"/>
  <c r="E93"/>
  <c r="F93" s="1"/>
  <c r="G93" s="1"/>
  <c r="H93" s="1"/>
  <c r="E94"/>
  <c r="F94" s="1"/>
  <c r="G94" s="1"/>
  <c r="H94" s="1"/>
  <c r="E95"/>
  <c r="F95" s="1"/>
  <c r="G95" s="1"/>
  <c r="H95" s="1"/>
  <c r="E96"/>
  <c r="F96" s="1"/>
  <c r="G96" s="1"/>
  <c r="H96" s="1"/>
  <c r="E97"/>
  <c r="F97" s="1"/>
  <c r="G97" s="1"/>
  <c r="H97" s="1"/>
  <c r="E98"/>
  <c r="F98" s="1"/>
  <c r="G98" s="1"/>
  <c r="E99"/>
  <c r="F99" s="1"/>
  <c r="E100"/>
  <c r="F100" s="1"/>
  <c r="G100" s="1"/>
  <c r="E101"/>
  <c r="F101" s="1"/>
  <c r="G101" s="1"/>
  <c r="E102"/>
  <c r="F102" s="1"/>
  <c r="G102" s="1"/>
  <c r="E103"/>
  <c r="F103" s="1"/>
  <c r="E104"/>
  <c r="F104" s="1"/>
  <c r="G104" s="1"/>
  <c r="E105"/>
  <c r="F105" s="1"/>
  <c r="G105" s="1"/>
  <c r="H105" s="1"/>
  <c r="E106"/>
  <c r="F106" s="1"/>
  <c r="E107"/>
  <c r="F107" s="1"/>
  <c r="E108"/>
  <c r="F108" s="1"/>
  <c r="E109"/>
  <c r="F109" s="1"/>
  <c r="E110"/>
  <c r="F110" s="1"/>
  <c r="E111"/>
  <c r="F111" s="1"/>
  <c r="G13" l="1"/>
  <c r="F114"/>
  <c r="H13"/>
  <c r="M115" i="9"/>
  <c r="N15"/>
  <c r="N115" s="1"/>
  <c r="G103" i="7"/>
  <c r="H103" s="1"/>
  <c r="G99"/>
  <c r="H99" s="1"/>
  <c r="H101"/>
  <c r="O100" i="9"/>
  <c r="O98"/>
  <c r="O96"/>
  <c r="G111" i="7"/>
  <c r="H111" s="1"/>
  <c r="G107"/>
  <c r="H107" s="1"/>
  <c r="G110"/>
  <c r="H110" s="1"/>
  <c r="G108"/>
  <c r="H108" s="1"/>
  <c r="G106"/>
  <c r="H106" s="1"/>
  <c r="G109"/>
  <c r="H109" s="1"/>
  <c r="H104"/>
  <c r="H102"/>
  <c r="H100"/>
  <c r="H98"/>
  <c r="H54"/>
  <c r="H53"/>
  <c r="H52"/>
  <c r="H51"/>
  <c r="H50"/>
  <c r="H49"/>
  <c r="H48"/>
  <c r="H47"/>
  <c r="H46"/>
  <c r="H45"/>
  <c r="H44"/>
  <c r="H43"/>
  <c r="H42"/>
  <c r="H41"/>
  <c r="H40"/>
  <c r="H39"/>
  <c r="H38"/>
  <c r="H37"/>
  <c r="H36"/>
  <c r="H35"/>
  <c r="H34"/>
  <c r="H33"/>
  <c r="H32"/>
  <c r="H31"/>
  <c r="H30"/>
  <c r="H29"/>
  <c r="H114" l="1"/>
  <c r="G114"/>
  <c r="O15" i="9"/>
  <c r="O115" s="1"/>
  <c r="AB117" i="5"/>
  <c r="AB118"/>
  <c r="AB119"/>
  <c r="AB120"/>
  <c r="AB121"/>
  <c r="AB122"/>
  <c r="AB123"/>
  <c r="AB124"/>
  <c r="AB125"/>
  <c r="AB126"/>
  <c r="AB127"/>
  <c r="AB128"/>
  <c r="AB129"/>
  <c r="AB130"/>
  <c r="AB131"/>
  <c r="AB132"/>
  <c r="AB133"/>
  <c r="AB134"/>
  <c r="AB135"/>
  <c r="AB136"/>
  <c r="AB137"/>
  <c r="AB138"/>
  <c r="AB139"/>
  <c r="AB140"/>
  <c r="AB141"/>
  <c r="AB142"/>
  <c r="AB143"/>
  <c r="AB144"/>
  <c r="AB145"/>
  <c r="AB146"/>
  <c r="AB147"/>
  <c r="AB148"/>
  <c r="AB149"/>
  <c r="AB150"/>
  <c r="AB151"/>
  <c r="AB152"/>
  <c r="AB153"/>
  <c r="AB154"/>
  <c r="AB155"/>
  <c r="AB156"/>
  <c r="AB157"/>
  <c r="AB158"/>
  <c r="AB159"/>
  <c r="AB160"/>
  <c r="AB161"/>
  <c r="AB162"/>
  <c r="AB163"/>
  <c r="AB164"/>
  <c r="AB165"/>
  <c r="AB166"/>
  <c r="AB167"/>
  <c r="AB168"/>
  <c r="AB169"/>
  <c r="AB170"/>
  <c r="AB171"/>
  <c r="AB172"/>
  <c r="AB173"/>
  <c r="AB174"/>
  <c r="AB175"/>
  <c r="AB176"/>
  <c r="AB177"/>
  <c r="AB178"/>
  <c r="AB179"/>
  <c r="AB180"/>
  <c r="AB181"/>
  <c r="AB182"/>
  <c r="AB183"/>
  <c r="AB184"/>
  <c r="AB185"/>
  <c r="AB186"/>
  <c r="AB187"/>
  <c r="AB188"/>
  <c r="AB189"/>
  <c r="AB190"/>
  <c r="AB191"/>
  <c r="AB192"/>
  <c r="AB193"/>
  <c r="AB194"/>
  <c r="AB195"/>
  <c r="AB196"/>
  <c r="AB197"/>
  <c r="AB198"/>
  <c r="AB199"/>
  <c r="AB200"/>
  <c r="AB201"/>
  <c r="AB202"/>
  <c r="AB203"/>
  <c r="AB204"/>
  <c r="AB205"/>
  <c r="U117"/>
  <c r="U118"/>
  <c r="U119"/>
  <c r="U120"/>
  <c r="U121"/>
  <c r="U122"/>
  <c r="U123"/>
  <c r="U124"/>
  <c r="U125"/>
  <c r="U126"/>
  <c r="U127"/>
  <c r="U128"/>
  <c r="U129"/>
  <c r="U130"/>
  <c r="U131"/>
  <c r="U132"/>
  <c r="U133"/>
  <c r="U134"/>
  <c r="U135"/>
  <c r="U136"/>
  <c r="U137"/>
  <c r="U138"/>
  <c r="U139"/>
  <c r="U140"/>
  <c r="U141"/>
  <c r="U142"/>
  <c r="U143"/>
  <c r="U144"/>
  <c r="U145"/>
  <c r="U146"/>
  <c r="U147"/>
  <c r="U148"/>
  <c r="U149"/>
  <c r="U150"/>
  <c r="U151"/>
  <c r="U152"/>
  <c r="U153"/>
  <c r="U154"/>
  <c r="U155"/>
  <c r="U156"/>
  <c r="U157"/>
  <c r="U158"/>
  <c r="U159"/>
  <c r="U160"/>
  <c r="U161"/>
  <c r="U162"/>
  <c r="U163"/>
  <c r="U164"/>
  <c r="U165"/>
  <c r="U166"/>
  <c r="U167"/>
  <c r="U168"/>
  <c r="U169"/>
  <c r="U170"/>
  <c r="U171"/>
  <c r="U172"/>
  <c r="U173"/>
  <c r="U174"/>
  <c r="U175"/>
  <c r="U176"/>
  <c r="U177"/>
  <c r="U178"/>
  <c r="U179"/>
  <c r="U180"/>
  <c r="U181"/>
  <c r="U182"/>
  <c r="U183"/>
  <c r="U184"/>
  <c r="U185"/>
  <c r="U186"/>
  <c r="U187"/>
  <c r="U188"/>
  <c r="U189"/>
  <c r="U190"/>
  <c r="U191"/>
  <c r="U192"/>
  <c r="U193"/>
  <c r="U194"/>
  <c r="U195"/>
  <c r="U196"/>
  <c r="U197"/>
  <c r="U198"/>
  <c r="U199"/>
  <c r="U200"/>
  <c r="U201"/>
  <c r="U202"/>
  <c r="U203"/>
  <c r="U204"/>
  <c r="U205"/>
  <c r="P117"/>
  <c r="P118"/>
  <c r="P119"/>
  <c r="P120"/>
  <c r="P121"/>
  <c r="P122"/>
  <c r="P123"/>
  <c r="P124"/>
  <c r="P125"/>
  <c r="P126"/>
  <c r="P127"/>
  <c r="P128"/>
  <c r="P129"/>
  <c r="P130"/>
  <c r="P131"/>
  <c r="P132"/>
  <c r="P133"/>
  <c r="P134"/>
  <c r="P135"/>
  <c r="P136"/>
  <c r="P137"/>
  <c r="P138"/>
  <c r="P139"/>
  <c r="P140"/>
  <c r="P141"/>
  <c r="P142"/>
  <c r="P143"/>
  <c r="P144"/>
  <c r="P145"/>
  <c r="P146"/>
  <c r="P147"/>
  <c r="P148"/>
  <c r="P149"/>
  <c r="P150"/>
  <c r="P151"/>
  <c r="P152"/>
  <c r="P153"/>
  <c r="P154"/>
  <c r="P155"/>
  <c r="P156"/>
  <c r="P157"/>
  <c r="P158"/>
  <c r="P159"/>
  <c r="P160"/>
  <c r="P161"/>
  <c r="P162"/>
  <c r="P163"/>
  <c r="P164"/>
  <c r="P165"/>
  <c r="P166"/>
  <c r="P167"/>
  <c r="P168"/>
  <c r="P169"/>
  <c r="P170"/>
  <c r="P171"/>
  <c r="P172"/>
  <c r="P173"/>
  <c r="P174"/>
  <c r="P175"/>
  <c r="P176"/>
  <c r="P177"/>
  <c r="P178"/>
  <c r="P179"/>
  <c r="P180"/>
  <c r="P181"/>
  <c r="P182"/>
  <c r="P183"/>
  <c r="P184"/>
  <c r="P185"/>
  <c r="P186"/>
  <c r="P187"/>
  <c r="P188"/>
  <c r="P189"/>
  <c r="P190"/>
  <c r="P191"/>
  <c r="P192"/>
  <c r="P193"/>
  <c r="P194"/>
  <c r="P195"/>
  <c r="P196"/>
  <c r="P197"/>
  <c r="P198"/>
  <c r="P199"/>
  <c r="P200"/>
  <c r="P201"/>
  <c r="P202"/>
  <c r="P203"/>
  <c r="P204"/>
  <c r="P205"/>
  <c r="L117"/>
  <c r="L118"/>
  <c r="L119"/>
  <c r="L120"/>
  <c r="L121"/>
  <c r="L122"/>
  <c r="L123"/>
  <c r="L124"/>
  <c r="L125"/>
  <c r="L126"/>
  <c r="L127"/>
  <c r="L128"/>
  <c r="L129"/>
  <c r="L130"/>
  <c r="L131"/>
  <c r="L132"/>
  <c r="L133"/>
  <c r="L134"/>
  <c r="L135"/>
  <c r="L136"/>
  <c r="L137"/>
  <c r="L138"/>
  <c r="L139"/>
  <c r="L140"/>
  <c r="L141"/>
  <c r="L142"/>
  <c r="L143"/>
  <c r="L144"/>
  <c r="L145"/>
  <c r="L146"/>
  <c r="L147"/>
  <c r="L148"/>
  <c r="L149"/>
  <c r="L150"/>
  <c r="L151"/>
  <c r="L152"/>
  <c r="L153"/>
  <c r="L154"/>
  <c r="L155"/>
  <c r="L156"/>
  <c r="L157"/>
  <c r="L158"/>
  <c r="L159"/>
  <c r="L160"/>
  <c r="L161"/>
  <c r="L162"/>
  <c r="L163"/>
  <c r="L164"/>
  <c r="L165"/>
  <c r="L166"/>
  <c r="L167"/>
  <c r="L168"/>
  <c r="L169"/>
  <c r="L170"/>
  <c r="L171"/>
  <c r="L172"/>
  <c r="L173"/>
  <c r="L174"/>
  <c r="L175"/>
  <c r="L176"/>
  <c r="L177"/>
  <c r="L178"/>
  <c r="L179"/>
  <c r="L180"/>
  <c r="L181"/>
  <c r="L182"/>
  <c r="L183"/>
  <c r="L184"/>
  <c r="L185"/>
  <c r="L186"/>
  <c r="L187"/>
  <c r="L188"/>
  <c r="L189"/>
  <c r="L190"/>
  <c r="L191"/>
  <c r="L192"/>
  <c r="L193"/>
  <c r="L194"/>
  <c r="L195"/>
  <c r="L196"/>
  <c r="L197"/>
  <c r="L198"/>
  <c r="L199"/>
  <c r="L200"/>
  <c r="L201"/>
  <c r="L202"/>
  <c r="AC202" s="1"/>
  <c r="L203"/>
  <c r="L204"/>
  <c r="AC204" s="1"/>
  <c r="L205"/>
  <c r="B117"/>
  <c r="C117"/>
  <c r="D117"/>
  <c r="B118"/>
  <c r="C118"/>
  <c r="D118"/>
  <c r="B119"/>
  <c r="C119"/>
  <c r="D119"/>
  <c r="B120"/>
  <c r="C120"/>
  <c r="D120"/>
  <c r="B121"/>
  <c r="C121"/>
  <c r="D121"/>
  <c r="B122"/>
  <c r="C122"/>
  <c r="D122"/>
  <c r="B123"/>
  <c r="C123"/>
  <c r="D123"/>
  <c r="B124"/>
  <c r="C124"/>
  <c r="D124"/>
  <c r="B125"/>
  <c r="C125"/>
  <c r="D125"/>
  <c r="B126"/>
  <c r="C126"/>
  <c r="D126"/>
  <c r="B127"/>
  <c r="C127"/>
  <c r="D127"/>
  <c r="B128"/>
  <c r="C128"/>
  <c r="D128"/>
  <c r="B129"/>
  <c r="C129"/>
  <c r="D129"/>
  <c r="B130"/>
  <c r="C130"/>
  <c r="D130"/>
  <c r="B131"/>
  <c r="C131"/>
  <c r="D131"/>
  <c r="B132"/>
  <c r="C132"/>
  <c r="D132"/>
  <c r="B133"/>
  <c r="C133"/>
  <c r="D133"/>
  <c r="B134"/>
  <c r="C134"/>
  <c r="D134"/>
  <c r="B135"/>
  <c r="C135"/>
  <c r="D135"/>
  <c r="B136"/>
  <c r="C136"/>
  <c r="D136"/>
  <c r="B137"/>
  <c r="C137"/>
  <c r="D137"/>
  <c r="B138"/>
  <c r="C138"/>
  <c r="D138"/>
  <c r="B139"/>
  <c r="C139"/>
  <c r="D139"/>
  <c r="B140"/>
  <c r="C140"/>
  <c r="D140"/>
  <c r="B141"/>
  <c r="C141"/>
  <c r="D141"/>
  <c r="B142"/>
  <c r="C142"/>
  <c r="D142"/>
  <c r="B143"/>
  <c r="C143"/>
  <c r="D143"/>
  <c r="B144"/>
  <c r="C144"/>
  <c r="D144"/>
  <c r="B145"/>
  <c r="C145"/>
  <c r="D145"/>
  <c r="B146"/>
  <c r="C146"/>
  <c r="D146"/>
  <c r="B147"/>
  <c r="C147"/>
  <c r="D147"/>
  <c r="B148"/>
  <c r="C148"/>
  <c r="D148"/>
  <c r="B149"/>
  <c r="C149"/>
  <c r="D149"/>
  <c r="B150"/>
  <c r="C150"/>
  <c r="D150"/>
  <c r="B151"/>
  <c r="C151"/>
  <c r="D151"/>
  <c r="B152"/>
  <c r="C152"/>
  <c r="D152"/>
  <c r="B153"/>
  <c r="C153"/>
  <c r="D153"/>
  <c r="B154"/>
  <c r="C154"/>
  <c r="D154"/>
  <c r="B155"/>
  <c r="C155"/>
  <c r="D155"/>
  <c r="B156"/>
  <c r="C156"/>
  <c r="D156"/>
  <c r="B157"/>
  <c r="C157"/>
  <c r="D157"/>
  <c r="B158"/>
  <c r="C158"/>
  <c r="D158"/>
  <c r="B159"/>
  <c r="C159"/>
  <c r="D159"/>
  <c r="B160"/>
  <c r="C160"/>
  <c r="D160"/>
  <c r="B161"/>
  <c r="C161"/>
  <c r="D161"/>
  <c r="B162"/>
  <c r="C162"/>
  <c r="D162"/>
  <c r="B163"/>
  <c r="C163"/>
  <c r="D163"/>
  <c r="B164"/>
  <c r="C164"/>
  <c r="D164"/>
  <c r="B165"/>
  <c r="C165"/>
  <c r="D165"/>
  <c r="B166"/>
  <c r="C166"/>
  <c r="D166"/>
  <c r="B167"/>
  <c r="C167"/>
  <c r="D167"/>
  <c r="B168"/>
  <c r="C168"/>
  <c r="D168"/>
  <c r="B169"/>
  <c r="C169"/>
  <c r="D169"/>
  <c r="B170"/>
  <c r="C170"/>
  <c r="D170"/>
  <c r="B171"/>
  <c r="C171"/>
  <c r="D171"/>
  <c r="B172"/>
  <c r="C172"/>
  <c r="D172"/>
  <c r="B173"/>
  <c r="C173"/>
  <c r="D173"/>
  <c r="B174"/>
  <c r="C174"/>
  <c r="D174"/>
  <c r="B175"/>
  <c r="C175"/>
  <c r="D175"/>
  <c r="B176"/>
  <c r="C176"/>
  <c r="D176"/>
  <c r="B177"/>
  <c r="C177"/>
  <c r="D177"/>
  <c r="B178"/>
  <c r="C178"/>
  <c r="D178"/>
  <c r="B179"/>
  <c r="C179"/>
  <c r="D179"/>
  <c r="B180"/>
  <c r="C180"/>
  <c r="D180"/>
  <c r="B181"/>
  <c r="C181"/>
  <c r="D181"/>
  <c r="B182"/>
  <c r="C182"/>
  <c r="D182"/>
  <c r="B183"/>
  <c r="C183"/>
  <c r="D183"/>
  <c r="B184"/>
  <c r="C184"/>
  <c r="D184"/>
  <c r="B185"/>
  <c r="C185"/>
  <c r="D185"/>
  <c r="B186"/>
  <c r="C186"/>
  <c r="D186"/>
  <c r="B187"/>
  <c r="C187"/>
  <c r="D187"/>
  <c r="B188"/>
  <c r="C188"/>
  <c r="D188"/>
  <c r="B189"/>
  <c r="C189"/>
  <c r="D189"/>
  <c r="B190"/>
  <c r="C190"/>
  <c r="D190"/>
  <c r="B191"/>
  <c r="C191"/>
  <c r="D191"/>
  <c r="B192"/>
  <c r="C192"/>
  <c r="D192"/>
  <c r="B193"/>
  <c r="C193"/>
  <c r="D193"/>
  <c r="B194"/>
  <c r="C194"/>
  <c r="D194"/>
  <c r="B195"/>
  <c r="C195"/>
  <c r="D195"/>
  <c r="B196"/>
  <c r="C196"/>
  <c r="D196"/>
  <c r="B197"/>
  <c r="C197"/>
  <c r="D197"/>
  <c r="B198"/>
  <c r="C198"/>
  <c r="D198"/>
  <c r="B199"/>
  <c r="C199"/>
  <c r="D199"/>
  <c r="B200"/>
  <c r="C200"/>
  <c r="D200"/>
  <c r="B201"/>
  <c r="C201"/>
  <c r="D201"/>
  <c r="B202"/>
  <c r="C202"/>
  <c r="D202"/>
  <c r="B203"/>
  <c r="C203"/>
  <c r="D203"/>
  <c r="B204"/>
  <c r="C204"/>
  <c r="D204"/>
  <c r="B205"/>
  <c r="C205"/>
  <c r="D205"/>
  <c r="AC200" l="1"/>
  <c r="AC196"/>
  <c r="AC192"/>
  <c r="AC188"/>
  <c r="AC184"/>
  <c r="AC180"/>
  <c r="AC176"/>
  <c r="AC172"/>
  <c r="AC168"/>
  <c r="AC164"/>
  <c r="AC160"/>
  <c r="AC156"/>
  <c r="AC152"/>
  <c r="AC148"/>
  <c r="AC144"/>
  <c r="AC140"/>
  <c r="AC136"/>
  <c r="AC132"/>
  <c r="AC128"/>
  <c r="AC124"/>
  <c r="AC120"/>
  <c r="AC194"/>
  <c r="AC186"/>
  <c r="AC178"/>
  <c r="AC170"/>
  <c r="AC162"/>
  <c r="AC154"/>
  <c r="AC146"/>
  <c r="AC138"/>
  <c r="AC130"/>
  <c r="AC122"/>
  <c r="AC198"/>
  <c r="AC190"/>
  <c r="AC182"/>
  <c r="AC174"/>
  <c r="AC166"/>
  <c r="AC158"/>
  <c r="AC150"/>
  <c r="AC142"/>
  <c r="AC134"/>
  <c r="AC126"/>
  <c r="AC118"/>
  <c r="AC201"/>
  <c r="AC161"/>
  <c r="AC137"/>
  <c r="AC195"/>
  <c r="AC187"/>
  <c r="AC179"/>
  <c r="AC171"/>
  <c r="AC155"/>
  <c r="AC139"/>
  <c r="AC131"/>
  <c r="AC123"/>
  <c r="AC199"/>
  <c r="AC191"/>
  <c r="AC183"/>
  <c r="AC175"/>
  <c r="AC167"/>
  <c r="AC159"/>
  <c r="AC151"/>
  <c r="AC143"/>
  <c r="AC135"/>
  <c r="AC127"/>
  <c r="AC119"/>
  <c r="AC193"/>
  <c r="AC185"/>
  <c r="AC177"/>
  <c r="AC169"/>
  <c r="AC153"/>
  <c r="AC145"/>
  <c r="AC129"/>
  <c r="AC121"/>
  <c r="AC203"/>
  <c r="AC163"/>
  <c r="AC147"/>
  <c r="AC205"/>
  <c r="AC197"/>
  <c r="AC189"/>
  <c r="AC181"/>
  <c r="AC173"/>
  <c r="AC165"/>
  <c r="AC157"/>
  <c r="AC149"/>
  <c r="AC141"/>
  <c r="AC133"/>
  <c r="AC125"/>
  <c r="AC117"/>
  <c r="A115" i="14" l="1"/>
  <c r="B115"/>
  <c r="A116"/>
  <c r="B116"/>
  <c r="A117"/>
  <c r="B117"/>
  <c r="A118"/>
  <c r="B118"/>
  <c r="A119"/>
  <c r="B119"/>
  <c r="A120"/>
  <c r="B120"/>
  <c r="A121"/>
  <c r="B121"/>
  <c r="A122"/>
  <c r="B122"/>
  <c r="A123"/>
  <c r="B123"/>
  <c r="A124"/>
  <c r="B124"/>
  <c r="A125"/>
  <c r="B125"/>
  <c r="A126"/>
  <c r="B126"/>
  <c r="A127"/>
  <c r="B127"/>
  <c r="A128"/>
  <c r="B128"/>
  <c r="A129"/>
  <c r="B129"/>
  <c r="A130"/>
  <c r="B130"/>
  <c r="A131"/>
  <c r="B131"/>
  <c r="A132"/>
  <c r="B132"/>
  <c r="A133"/>
  <c r="B133"/>
  <c r="A134"/>
  <c r="B134"/>
  <c r="A135"/>
  <c r="B135"/>
  <c r="A136"/>
  <c r="B136"/>
  <c r="A137"/>
  <c r="B137"/>
  <c r="A138"/>
  <c r="B138"/>
  <c r="A139"/>
  <c r="B139"/>
  <c r="A140"/>
  <c r="B140"/>
  <c r="A141"/>
  <c r="B141"/>
  <c r="A142"/>
  <c r="B142"/>
  <c r="A143"/>
  <c r="B143"/>
  <c r="A144"/>
  <c r="B144"/>
  <c r="A145"/>
  <c r="B145"/>
  <c r="A146"/>
  <c r="B146"/>
  <c r="A147"/>
  <c r="B147"/>
  <c r="A148"/>
  <c r="B148"/>
  <c r="A149"/>
  <c r="B149"/>
  <c r="A150"/>
  <c r="B150"/>
  <c r="A151"/>
  <c r="B151"/>
  <c r="A152"/>
  <c r="B152"/>
  <c r="A153"/>
  <c r="B153"/>
  <c r="A154"/>
  <c r="B154"/>
  <c r="A155"/>
  <c r="B155"/>
  <c r="A156"/>
  <c r="B156"/>
  <c r="A157"/>
  <c r="B157"/>
  <c r="A158"/>
  <c r="B158"/>
  <c r="A159"/>
  <c r="B159"/>
  <c r="A160"/>
  <c r="B160"/>
  <c r="A161"/>
  <c r="B161"/>
  <c r="A162"/>
  <c r="B162"/>
  <c r="A163"/>
  <c r="B163"/>
  <c r="A164"/>
  <c r="B164"/>
  <c r="A165"/>
  <c r="B165"/>
  <c r="A166"/>
  <c r="B166"/>
  <c r="A167"/>
  <c r="B167"/>
  <c r="A168"/>
  <c r="B168"/>
  <c r="A169"/>
  <c r="B169"/>
  <c r="A170"/>
  <c r="B170"/>
  <c r="A171"/>
  <c r="B171"/>
  <c r="A172"/>
  <c r="B172"/>
  <c r="A173"/>
  <c r="B173"/>
  <c r="A174"/>
  <c r="B174"/>
  <c r="A175"/>
  <c r="B175"/>
  <c r="A176"/>
  <c r="B176"/>
  <c r="A177"/>
  <c r="B177"/>
  <c r="A178"/>
  <c r="B178"/>
  <c r="A179"/>
  <c r="B179"/>
  <c r="A180"/>
  <c r="B180"/>
  <c r="A181"/>
  <c r="B181"/>
  <c r="A182"/>
  <c r="B182"/>
  <c r="A183"/>
  <c r="B183"/>
  <c r="A184"/>
  <c r="B184"/>
  <c r="A185"/>
  <c r="B185"/>
  <c r="A186"/>
  <c r="B186"/>
  <c r="A187"/>
  <c r="B187"/>
  <c r="A188"/>
  <c r="B188"/>
  <c r="A189"/>
  <c r="B189"/>
  <c r="A190"/>
  <c r="B190"/>
  <c r="A191"/>
  <c r="B191"/>
  <c r="A192"/>
  <c r="B192"/>
  <c r="B8" i="5" l="1"/>
  <c r="A3" i="14" s="1"/>
  <c r="B9" i="5"/>
  <c r="A4" i="14" s="1"/>
  <c r="B10" i="5"/>
  <c r="A5" i="14" s="1"/>
  <c r="B11" i="5"/>
  <c r="A6" i="14" s="1"/>
  <c r="B12" i="5"/>
  <c r="A7" i="14" s="1"/>
  <c r="B13" i="5"/>
  <c r="A8" i="14" s="1"/>
  <c r="B14" i="5"/>
  <c r="A9" i="14" s="1"/>
  <c r="B15" i="5"/>
  <c r="A10" i="14" s="1"/>
  <c r="B16" i="5"/>
  <c r="A11" i="14" s="1"/>
  <c r="B17" i="5"/>
  <c r="A12" i="14" s="1"/>
  <c r="B18" i="5"/>
  <c r="A13" i="14" s="1"/>
  <c r="B19" i="5"/>
  <c r="A14" i="14" s="1"/>
  <c r="B20" i="5"/>
  <c r="A15" i="14" s="1"/>
  <c r="B21" i="5"/>
  <c r="A16" i="14" s="1"/>
  <c r="B22" i="5"/>
  <c r="A17" i="14" s="1"/>
  <c r="B23" i="5"/>
  <c r="A18" i="14" s="1"/>
  <c r="B24" i="5"/>
  <c r="A19" i="14" s="1"/>
  <c r="B25" i="5"/>
  <c r="A20" i="14" s="1"/>
  <c r="B26" i="5"/>
  <c r="A21" i="14" s="1"/>
  <c r="B27" i="5"/>
  <c r="A22" i="14" s="1"/>
  <c r="B28" i="5"/>
  <c r="A23" i="14" s="1"/>
  <c r="B29" i="5"/>
  <c r="A24" i="14" s="1"/>
  <c r="B30" i="5"/>
  <c r="A25" i="14" s="1"/>
  <c r="B31" i="5"/>
  <c r="A26" i="14" s="1"/>
  <c r="B32" i="5"/>
  <c r="A27" i="14" s="1"/>
  <c r="B33" i="5"/>
  <c r="A28" i="14" s="1"/>
  <c r="B34" i="5"/>
  <c r="A29" i="14" s="1"/>
  <c r="B35" i="5"/>
  <c r="A30" i="14" s="1"/>
  <c r="B36" i="5"/>
  <c r="A31" i="14" s="1"/>
  <c r="B37" i="5"/>
  <c r="A32" i="14" s="1"/>
  <c r="B38" i="5"/>
  <c r="A33" i="14" s="1"/>
  <c r="B39" i="5"/>
  <c r="A34" i="14" s="1"/>
  <c r="B40" i="5"/>
  <c r="A35" i="14" s="1"/>
  <c r="B41" i="5"/>
  <c r="A36" i="14" s="1"/>
  <c r="B42" i="5"/>
  <c r="A37" i="14" s="1"/>
  <c r="B43" i="5"/>
  <c r="A38" i="14" s="1"/>
  <c r="B44" i="5"/>
  <c r="A39" i="14" s="1"/>
  <c r="B45" i="5"/>
  <c r="A40" i="14" s="1"/>
  <c r="B46" i="5"/>
  <c r="A41" i="14" s="1"/>
  <c r="B47" i="5"/>
  <c r="A42" i="14" s="1"/>
  <c r="B48" i="5"/>
  <c r="A43" i="14" s="1"/>
  <c r="B49" i="5"/>
  <c r="A44" i="14" s="1"/>
  <c r="B50" i="5"/>
  <c r="A45" i="14" s="1"/>
  <c r="B51" i="5"/>
  <c r="A46" i="14" s="1"/>
  <c r="B52" i="5"/>
  <c r="A47" i="14" s="1"/>
  <c r="B53" i="5"/>
  <c r="A48" i="14" s="1"/>
  <c r="B54" i="5"/>
  <c r="A49" i="14" s="1"/>
  <c r="B55" i="5"/>
  <c r="A50" i="14" s="1"/>
  <c r="B56" i="5"/>
  <c r="A51" i="14" s="1"/>
  <c r="B57" i="5"/>
  <c r="A52" i="14" s="1"/>
  <c r="B58" i="5"/>
  <c r="A53" i="14" s="1"/>
  <c r="B59" i="5"/>
  <c r="A54" i="14" s="1"/>
  <c r="B60" i="5"/>
  <c r="A55" i="14" s="1"/>
  <c r="B61" i="5"/>
  <c r="A56" i="14" s="1"/>
  <c r="B62" i="5"/>
  <c r="A57" i="14" s="1"/>
  <c r="B63" i="5"/>
  <c r="A58" i="14" s="1"/>
  <c r="B64" i="5"/>
  <c r="A59" i="14" s="1"/>
  <c r="B65" i="5"/>
  <c r="A60" i="14" s="1"/>
  <c r="B66" i="5"/>
  <c r="A61" i="14" s="1"/>
  <c r="B67" i="5"/>
  <c r="A62" i="14" s="1"/>
  <c r="B68" i="5"/>
  <c r="A63" i="14" s="1"/>
  <c r="B69" i="5"/>
  <c r="A64" i="14" s="1"/>
  <c r="B70" i="5"/>
  <c r="A65" i="14" s="1"/>
  <c r="B71" i="5"/>
  <c r="A66" i="14" s="1"/>
  <c r="B72" i="5"/>
  <c r="A67" i="14" s="1"/>
  <c r="B73" i="5"/>
  <c r="A68" i="14" s="1"/>
  <c r="B74" i="5"/>
  <c r="A69" i="14" s="1"/>
  <c r="B75" i="5"/>
  <c r="A70" i="14" s="1"/>
  <c r="B76" i="5"/>
  <c r="A71" i="14" s="1"/>
  <c r="B77" i="5"/>
  <c r="A72" i="14" s="1"/>
  <c r="B78" i="5"/>
  <c r="A73" i="14" s="1"/>
  <c r="B79" i="5"/>
  <c r="A74" i="14" s="1"/>
  <c r="B80" i="5"/>
  <c r="A75" i="14" s="1"/>
  <c r="B81" i="5"/>
  <c r="A76" i="14" s="1"/>
  <c r="B82" i="5"/>
  <c r="A77" i="14" s="1"/>
  <c r="B83" i="5"/>
  <c r="A78" i="14" s="1"/>
  <c r="B84" i="5"/>
  <c r="A79" i="14" s="1"/>
  <c r="B85" i="5"/>
  <c r="A80" i="14" s="1"/>
  <c r="B86" i="5"/>
  <c r="A81" i="14" s="1"/>
  <c r="B87" i="5"/>
  <c r="A82" i="14" s="1"/>
  <c r="B88" i="5"/>
  <c r="A83" i="14" s="1"/>
  <c r="B89" i="5"/>
  <c r="A84" i="14" s="1"/>
  <c r="B90" i="5"/>
  <c r="A85" i="14" s="1"/>
  <c r="B91" i="5"/>
  <c r="A86" i="14" s="1"/>
  <c r="B92" i="5"/>
  <c r="A87" i="14" s="1"/>
  <c r="B93" i="5"/>
  <c r="A88" i="14" s="1"/>
  <c r="B94" i="5"/>
  <c r="A89" i="14" s="1"/>
  <c r="B95" i="5"/>
  <c r="A90" i="14" s="1"/>
  <c r="B96" i="5"/>
  <c r="A91" i="14" s="1"/>
  <c r="B97" i="5"/>
  <c r="A92" i="14" s="1"/>
  <c r="B98" i="5"/>
  <c r="A93" i="14" s="1"/>
  <c r="B99" i="5"/>
  <c r="A94" i="14" s="1"/>
  <c r="B100" i="5"/>
  <c r="A95" i="14" s="1"/>
  <c r="B101" i="5"/>
  <c r="A96" i="14" s="1"/>
  <c r="B102" i="5"/>
  <c r="A97" i="14" s="1"/>
  <c r="B103" i="5"/>
  <c r="A98" i="14" s="1"/>
  <c r="B104" i="5"/>
  <c r="A99" i="14" s="1"/>
  <c r="B105" i="5"/>
  <c r="A100" i="14" s="1"/>
  <c r="B106" i="5"/>
  <c r="A101" i="14" s="1"/>
  <c r="B107" i="5"/>
  <c r="A102" i="14" s="1"/>
  <c r="B108" i="5"/>
  <c r="A103" i="14" s="1"/>
  <c r="B109" i="5"/>
  <c r="A104" i="14" s="1"/>
  <c r="B110" i="5"/>
  <c r="A105" i="14" s="1"/>
  <c r="B111" i="5"/>
  <c r="A106" i="14" s="1"/>
  <c r="B112" i="5"/>
  <c r="A107" i="14" s="1"/>
  <c r="B113" i="5"/>
  <c r="A108" i="14" s="1"/>
  <c r="B114" i="5"/>
  <c r="A109" i="14" s="1"/>
  <c r="B115" i="5"/>
  <c r="A110" i="14" s="1"/>
  <c r="B116" i="5"/>
  <c r="A111" i="14" s="1"/>
  <c r="A113"/>
  <c r="A114"/>
  <c r="B7" i="5"/>
  <c r="C115" i="14" s="1"/>
  <c r="C183" l="1"/>
  <c r="C180"/>
  <c r="C134"/>
  <c r="C166"/>
  <c r="C153"/>
  <c r="C144"/>
  <c r="C145"/>
  <c r="C177"/>
  <c r="C119"/>
  <c r="C167"/>
  <c r="C190"/>
  <c r="C148"/>
  <c r="C140"/>
  <c r="C118"/>
  <c r="C150"/>
  <c r="C182"/>
  <c r="C128"/>
  <c r="C169"/>
  <c r="C116"/>
  <c r="C121"/>
  <c r="C156"/>
  <c r="C139"/>
  <c r="C171"/>
  <c r="C179"/>
  <c r="C129"/>
  <c r="C161"/>
  <c r="C131"/>
  <c r="C151"/>
  <c r="C185"/>
  <c r="C123"/>
  <c r="C155"/>
  <c r="C187"/>
  <c r="C147"/>
  <c r="C126"/>
  <c r="C120"/>
  <c r="C136"/>
  <c r="C152"/>
  <c r="C168"/>
  <c r="C191"/>
  <c r="C163"/>
  <c r="C137"/>
  <c r="C158"/>
  <c r="C174"/>
  <c r="A112"/>
  <c r="C117"/>
  <c r="C133"/>
  <c r="C149"/>
  <c r="C165"/>
  <c r="C181"/>
  <c r="C125"/>
  <c r="C157"/>
  <c r="C189"/>
  <c r="C138"/>
  <c r="C130"/>
  <c r="C146"/>
  <c r="C162"/>
  <c r="C178"/>
  <c r="C141"/>
  <c r="C173"/>
  <c r="C122"/>
  <c r="C154"/>
  <c r="C170"/>
  <c r="C186"/>
  <c r="C132"/>
  <c r="C164"/>
  <c r="C184"/>
  <c r="C172"/>
  <c r="C135"/>
  <c r="C127"/>
  <c r="C143"/>
  <c r="C159"/>
  <c r="C175"/>
  <c r="C124"/>
  <c r="C188"/>
  <c r="C142"/>
  <c r="C160"/>
  <c r="C176"/>
  <c r="C192"/>
  <c r="A2"/>
  <c r="B113"/>
  <c r="B114"/>
  <c r="B112"/>
  <c r="C114" l="1"/>
  <c r="C113"/>
  <c r="C116" i="5" l="1"/>
  <c r="B111" i="14" s="1"/>
  <c r="D116" i="5"/>
  <c r="L116"/>
  <c r="P116"/>
  <c r="U116"/>
  <c r="AB116"/>
  <c r="AC116" l="1"/>
  <c r="C112" i="14"/>
  <c r="C111" l="1"/>
  <c r="L115" i="5"/>
  <c r="P115"/>
  <c r="U115"/>
  <c r="AB115"/>
  <c r="C115"/>
  <c r="B110" i="14" s="1"/>
  <c r="D115" i="5"/>
  <c r="AC115" l="1"/>
  <c r="C110" i="14" s="1"/>
  <c r="AB114" i="5"/>
  <c r="U114"/>
  <c r="P114"/>
  <c r="L114"/>
  <c r="D114"/>
  <c r="C114"/>
  <c r="B109" i="14" s="1"/>
  <c r="AC114" i="5" l="1"/>
  <c r="C109" i="14" s="1"/>
  <c r="AB113" i="5"/>
  <c r="U113"/>
  <c r="P113"/>
  <c r="L113"/>
  <c r="D113"/>
  <c r="C113"/>
  <c r="B108" i="14" s="1"/>
  <c r="AC113" i="5" l="1"/>
  <c r="C108" i="14" l="1"/>
  <c r="AB102" i="5"/>
  <c r="AB103"/>
  <c r="AB104"/>
  <c r="AB105"/>
  <c r="AB106"/>
  <c r="AB107"/>
  <c r="AB108"/>
  <c r="AB109"/>
  <c r="AB110"/>
  <c r="AB111"/>
  <c r="AB112"/>
  <c r="U102"/>
  <c r="U103"/>
  <c r="U104"/>
  <c r="U105"/>
  <c r="U106"/>
  <c r="U107"/>
  <c r="U108"/>
  <c r="U109"/>
  <c r="U110"/>
  <c r="U111"/>
  <c r="U112"/>
  <c r="P102"/>
  <c r="P103"/>
  <c r="P104"/>
  <c r="P105"/>
  <c r="P106"/>
  <c r="P107"/>
  <c r="P108"/>
  <c r="P109"/>
  <c r="P110"/>
  <c r="P111"/>
  <c r="P112"/>
  <c r="L102"/>
  <c r="L103"/>
  <c r="L104"/>
  <c r="L105"/>
  <c r="L106"/>
  <c r="L107"/>
  <c r="L108"/>
  <c r="L109"/>
  <c r="L110"/>
  <c r="L111"/>
  <c r="L112"/>
  <c r="C102"/>
  <c r="B97" i="14" s="1"/>
  <c r="D102" i="5"/>
  <c r="C103"/>
  <c r="B98" i="14" s="1"/>
  <c r="D103" i="5"/>
  <c r="C104"/>
  <c r="B99" i="14" s="1"/>
  <c r="D104" i="5"/>
  <c r="C105"/>
  <c r="B100" i="14" s="1"/>
  <c r="D105" i="5"/>
  <c r="C106"/>
  <c r="B101" i="14" s="1"/>
  <c r="D106" i="5"/>
  <c r="C107"/>
  <c r="B102" i="14" s="1"/>
  <c r="D107" i="5"/>
  <c r="C108"/>
  <c r="B103" i="14" s="1"/>
  <c r="D108" i="5"/>
  <c r="C109"/>
  <c r="B104" i="14" s="1"/>
  <c r="D109" i="5"/>
  <c r="C110"/>
  <c r="B105" i="14" s="1"/>
  <c r="D110" i="5"/>
  <c r="C111"/>
  <c r="B106" i="14" s="1"/>
  <c r="D111" i="5"/>
  <c r="C112"/>
  <c r="B107" i="14" s="1"/>
  <c r="D112" i="5"/>
  <c r="C8"/>
  <c r="B3" i="14" s="1"/>
  <c r="D8" i="5"/>
  <c r="C9"/>
  <c r="B4" i="14" s="1"/>
  <c r="D9" i="5"/>
  <c r="C10"/>
  <c r="B5" i="14" s="1"/>
  <c r="D10" i="5"/>
  <c r="C11"/>
  <c r="B6" i="14" s="1"/>
  <c r="D11" i="5"/>
  <c r="C12"/>
  <c r="B7" i="14" s="1"/>
  <c r="D12" i="5"/>
  <c r="C13"/>
  <c r="B8" i="14" s="1"/>
  <c r="D13" i="5"/>
  <c r="C14"/>
  <c r="B9" i="14" s="1"/>
  <c r="D14" i="5"/>
  <c r="C15"/>
  <c r="B10" i="14" s="1"/>
  <c r="D15" i="5"/>
  <c r="C16"/>
  <c r="B11" i="14" s="1"/>
  <c r="D16" i="5"/>
  <c r="C17"/>
  <c r="B12" i="14" s="1"/>
  <c r="D17" i="5"/>
  <c r="C18"/>
  <c r="B13" i="14" s="1"/>
  <c r="D18" i="5"/>
  <c r="C19"/>
  <c r="B14" i="14" s="1"/>
  <c r="D19" i="5"/>
  <c r="C20"/>
  <c r="B15" i="14" s="1"/>
  <c r="D20" i="5"/>
  <c r="C21"/>
  <c r="B16" i="14" s="1"/>
  <c r="D21" i="5"/>
  <c r="C22"/>
  <c r="B17" i="14" s="1"/>
  <c r="D22" i="5"/>
  <c r="C23"/>
  <c r="B18" i="14" s="1"/>
  <c r="D23" i="5"/>
  <c r="C24"/>
  <c r="B19" i="14" s="1"/>
  <c r="D24" i="5"/>
  <c r="C25"/>
  <c r="B20" i="14" s="1"/>
  <c r="D25" i="5"/>
  <c r="C26"/>
  <c r="B21" i="14" s="1"/>
  <c r="D26" i="5"/>
  <c r="C27"/>
  <c r="B22" i="14" s="1"/>
  <c r="D27" i="5"/>
  <c r="C28"/>
  <c r="B23" i="14" s="1"/>
  <c r="D28" i="5"/>
  <c r="C29"/>
  <c r="B24" i="14" s="1"/>
  <c r="D29" i="5"/>
  <c r="C30"/>
  <c r="B25" i="14" s="1"/>
  <c r="D30" i="5"/>
  <c r="C31"/>
  <c r="B26" i="14" s="1"/>
  <c r="D31" i="5"/>
  <c r="C32"/>
  <c r="B27" i="14" s="1"/>
  <c r="D32" i="5"/>
  <c r="C33"/>
  <c r="B28" i="14" s="1"/>
  <c r="D33" i="5"/>
  <c r="C34"/>
  <c r="B29" i="14" s="1"/>
  <c r="D34" i="5"/>
  <c r="C35"/>
  <c r="B30" i="14" s="1"/>
  <c r="D35" i="5"/>
  <c r="C36"/>
  <c r="B31" i="14" s="1"/>
  <c r="D36" i="5"/>
  <c r="C37"/>
  <c r="B32" i="14" s="1"/>
  <c r="D37" i="5"/>
  <c r="C38"/>
  <c r="B33" i="14" s="1"/>
  <c r="D38" i="5"/>
  <c r="C39"/>
  <c r="B34" i="14" s="1"/>
  <c r="D39" i="5"/>
  <c r="C40"/>
  <c r="B35" i="14" s="1"/>
  <c r="D40" i="5"/>
  <c r="C41"/>
  <c r="B36" i="14" s="1"/>
  <c r="D41" i="5"/>
  <c r="C42"/>
  <c r="B37" i="14" s="1"/>
  <c r="D42" i="5"/>
  <c r="C43"/>
  <c r="B38" i="14" s="1"/>
  <c r="D43" i="5"/>
  <c r="C44"/>
  <c r="B39" i="14" s="1"/>
  <c r="D44" i="5"/>
  <c r="C45"/>
  <c r="B40" i="14" s="1"/>
  <c r="D45" i="5"/>
  <c r="C46"/>
  <c r="B41" i="14" s="1"/>
  <c r="D46" i="5"/>
  <c r="C47"/>
  <c r="B42" i="14" s="1"/>
  <c r="D47" i="5"/>
  <c r="C48"/>
  <c r="B43" i="14" s="1"/>
  <c r="D48" i="5"/>
  <c r="C49"/>
  <c r="B44" i="14" s="1"/>
  <c r="D49" i="5"/>
  <c r="C50"/>
  <c r="B45" i="14" s="1"/>
  <c r="D50" i="5"/>
  <c r="C51"/>
  <c r="B46" i="14" s="1"/>
  <c r="D51" i="5"/>
  <c r="C52"/>
  <c r="B47" i="14" s="1"/>
  <c r="D52" i="5"/>
  <c r="C53"/>
  <c r="B48" i="14" s="1"/>
  <c r="D53" i="5"/>
  <c r="C54"/>
  <c r="B49" i="14" s="1"/>
  <c r="D54" i="5"/>
  <c r="C55"/>
  <c r="B50" i="14" s="1"/>
  <c r="D55" i="5"/>
  <c r="C56"/>
  <c r="B51" i="14" s="1"/>
  <c r="D56" i="5"/>
  <c r="C57"/>
  <c r="B52" i="14" s="1"/>
  <c r="D57" i="5"/>
  <c r="C58"/>
  <c r="B53" i="14" s="1"/>
  <c r="D58" i="5"/>
  <c r="C59"/>
  <c r="B54" i="14" s="1"/>
  <c r="D59" i="5"/>
  <c r="C60"/>
  <c r="B55" i="14" s="1"/>
  <c r="D60" i="5"/>
  <c r="C61"/>
  <c r="B56" i="14" s="1"/>
  <c r="D61" i="5"/>
  <c r="C62"/>
  <c r="B57" i="14" s="1"/>
  <c r="D62" i="5"/>
  <c r="C63"/>
  <c r="B58" i="14" s="1"/>
  <c r="D63" i="5"/>
  <c r="C64"/>
  <c r="B59" i="14" s="1"/>
  <c r="D64" i="5"/>
  <c r="C65"/>
  <c r="B60" i="14" s="1"/>
  <c r="D65" i="5"/>
  <c r="C66"/>
  <c r="B61" i="14" s="1"/>
  <c r="D66" i="5"/>
  <c r="C67"/>
  <c r="B62" i="14" s="1"/>
  <c r="D67" i="5"/>
  <c r="C68"/>
  <c r="B63" i="14" s="1"/>
  <c r="D68" i="5"/>
  <c r="C69"/>
  <c r="B64" i="14" s="1"/>
  <c r="D69" i="5"/>
  <c r="C70"/>
  <c r="B65" i="14" s="1"/>
  <c r="D70" i="5"/>
  <c r="C71"/>
  <c r="B66" i="14" s="1"/>
  <c r="D71" i="5"/>
  <c r="C72"/>
  <c r="B67" i="14" s="1"/>
  <c r="D72" i="5"/>
  <c r="C73"/>
  <c r="B68" i="14" s="1"/>
  <c r="D73" i="5"/>
  <c r="C74"/>
  <c r="B69" i="14" s="1"/>
  <c r="D74" i="5"/>
  <c r="C75"/>
  <c r="B70" i="14" s="1"/>
  <c r="D75" i="5"/>
  <c r="C76"/>
  <c r="B71" i="14" s="1"/>
  <c r="D76" i="5"/>
  <c r="C77"/>
  <c r="B72" i="14" s="1"/>
  <c r="D77" i="5"/>
  <c r="C78"/>
  <c r="B73" i="14" s="1"/>
  <c r="D78" i="5"/>
  <c r="C79"/>
  <c r="B74" i="14" s="1"/>
  <c r="D79" i="5"/>
  <c r="C80"/>
  <c r="B75" i="14" s="1"/>
  <c r="D80" i="5"/>
  <c r="C81"/>
  <c r="B76" i="14" s="1"/>
  <c r="D81" i="5"/>
  <c r="C82"/>
  <c r="B77" i="14" s="1"/>
  <c r="D82" i="5"/>
  <c r="C83"/>
  <c r="B78" i="14" s="1"/>
  <c r="D83" i="5"/>
  <c r="C84"/>
  <c r="B79" i="14" s="1"/>
  <c r="D84" i="5"/>
  <c r="C85"/>
  <c r="B80" i="14" s="1"/>
  <c r="D85" i="5"/>
  <c r="C86"/>
  <c r="B81" i="14" s="1"/>
  <c r="D86" i="5"/>
  <c r="C87"/>
  <c r="B82" i="14" s="1"/>
  <c r="D87" i="5"/>
  <c r="C88"/>
  <c r="B83" i="14" s="1"/>
  <c r="D88" i="5"/>
  <c r="C89"/>
  <c r="B84" i="14" s="1"/>
  <c r="D89" i="5"/>
  <c r="C90"/>
  <c r="B85" i="14" s="1"/>
  <c r="D90" i="5"/>
  <c r="C91"/>
  <c r="B86" i="14" s="1"/>
  <c r="D91" i="5"/>
  <c r="C92"/>
  <c r="B87" i="14" s="1"/>
  <c r="D92" i="5"/>
  <c r="C93"/>
  <c r="B88" i="14" s="1"/>
  <c r="D93" i="5"/>
  <c r="C94"/>
  <c r="B89" i="14" s="1"/>
  <c r="D94" i="5"/>
  <c r="C95"/>
  <c r="B90" i="14" s="1"/>
  <c r="D95" i="5"/>
  <c r="C96"/>
  <c r="B91" i="14" s="1"/>
  <c r="D96" i="5"/>
  <c r="C97"/>
  <c r="B92" i="14" s="1"/>
  <c r="D97" i="5"/>
  <c r="C98"/>
  <c r="B93" i="14" s="1"/>
  <c r="D98" i="5"/>
  <c r="C99"/>
  <c r="B94" i="14" s="1"/>
  <c r="D99" i="5"/>
  <c r="C100"/>
  <c r="B95" i="14" s="1"/>
  <c r="D100" i="5"/>
  <c r="C101"/>
  <c r="B96" i="14" s="1"/>
  <c r="D101" i="5"/>
  <c r="C7"/>
  <c r="D7"/>
  <c r="B2" i="14" l="1"/>
  <c r="AC110" i="5"/>
  <c r="C105" i="14" s="1"/>
  <c r="AC106" i="5"/>
  <c r="C101" i="14" s="1"/>
  <c r="AC102" i="5"/>
  <c r="C97" i="14" s="1"/>
  <c r="AC112" i="5"/>
  <c r="AC108"/>
  <c r="C103" i="14" s="1"/>
  <c r="AC111" i="5"/>
  <c r="AC109"/>
  <c r="C104" i="14" s="1"/>
  <c r="AC103" i="5"/>
  <c r="C98" i="14" s="1"/>
  <c r="AC105" i="5"/>
  <c r="C100" i="14" s="1"/>
  <c r="AC107" i="5"/>
  <c r="AC104"/>
  <c r="AB101"/>
  <c r="U101"/>
  <c r="P101"/>
  <c r="L101"/>
  <c r="L100"/>
  <c r="P100"/>
  <c r="U100"/>
  <c r="AB100"/>
  <c r="C99" i="14" l="1"/>
  <c r="C106"/>
  <c r="C102"/>
  <c r="C107"/>
  <c r="AC100" i="5"/>
  <c r="AC101"/>
  <c r="C96" i="14" s="1"/>
  <c r="C95" l="1"/>
  <c r="AB8" i="5" l="1"/>
  <c r="AB9"/>
  <c r="AB10"/>
  <c r="AB11"/>
  <c r="AB12"/>
  <c r="AB13"/>
  <c r="AB14"/>
  <c r="AB15"/>
  <c r="AB16"/>
  <c r="AB17"/>
  <c r="AB18"/>
  <c r="AB19"/>
  <c r="AB20"/>
  <c r="AB21"/>
  <c r="AB22"/>
  <c r="AB23"/>
  <c r="AB24"/>
  <c r="AB25"/>
  <c r="AB26"/>
  <c r="AB27"/>
  <c r="AB28"/>
  <c r="AB29"/>
  <c r="AB30"/>
  <c r="AB31"/>
  <c r="AB32"/>
  <c r="AB33"/>
  <c r="AB34"/>
  <c r="AB35"/>
  <c r="AB36"/>
  <c r="AB37"/>
  <c r="AB38"/>
  <c r="AB39"/>
  <c r="AB40"/>
  <c r="AB41"/>
  <c r="AB42"/>
  <c r="AB43"/>
  <c r="AB44"/>
  <c r="AB45"/>
  <c r="AB46"/>
  <c r="AB47"/>
  <c r="AB48"/>
  <c r="AB49"/>
  <c r="AB50"/>
  <c r="AB51"/>
  <c r="AB52"/>
  <c r="AB53"/>
  <c r="AB54"/>
  <c r="AB55"/>
  <c r="AB56"/>
  <c r="AB57"/>
  <c r="AB58"/>
  <c r="AB59"/>
  <c r="AB60"/>
  <c r="AB61"/>
  <c r="AB62"/>
  <c r="AB63"/>
  <c r="AB64"/>
  <c r="AB65"/>
  <c r="AB66"/>
  <c r="AB67"/>
  <c r="AB68"/>
  <c r="AB69"/>
  <c r="AB70"/>
  <c r="AB71"/>
  <c r="AB72"/>
  <c r="AB73"/>
  <c r="AB74"/>
  <c r="AB75"/>
  <c r="AB76"/>
  <c r="AB77"/>
  <c r="AB78"/>
  <c r="AB79"/>
  <c r="AB80"/>
  <c r="AB81"/>
  <c r="AB82"/>
  <c r="AB83"/>
  <c r="AB84"/>
  <c r="AB85"/>
  <c r="AB86"/>
  <c r="AB87"/>
  <c r="AB88"/>
  <c r="AB89"/>
  <c r="AB90"/>
  <c r="AB91"/>
  <c r="AB92"/>
  <c r="AB93"/>
  <c r="AB94"/>
  <c r="AB95"/>
  <c r="AB96"/>
  <c r="AB97"/>
  <c r="AB98"/>
  <c r="AB99"/>
  <c r="AB7"/>
  <c r="U8"/>
  <c r="U9"/>
  <c r="U10"/>
  <c r="U11"/>
  <c r="U12"/>
  <c r="U13"/>
  <c r="U14"/>
  <c r="U15"/>
  <c r="U16"/>
  <c r="U17"/>
  <c r="U18"/>
  <c r="U19"/>
  <c r="U20"/>
  <c r="U21"/>
  <c r="U22"/>
  <c r="U23"/>
  <c r="U24"/>
  <c r="U25"/>
  <c r="U26"/>
  <c r="U27"/>
  <c r="U28"/>
  <c r="U29"/>
  <c r="U30"/>
  <c r="U31"/>
  <c r="U32"/>
  <c r="U33"/>
  <c r="U34"/>
  <c r="U35"/>
  <c r="U36"/>
  <c r="U37"/>
  <c r="U38"/>
  <c r="U39"/>
  <c r="U40"/>
  <c r="U41"/>
  <c r="U42"/>
  <c r="U43"/>
  <c r="U44"/>
  <c r="U45"/>
  <c r="U46"/>
  <c r="U47"/>
  <c r="U48"/>
  <c r="U49"/>
  <c r="U50"/>
  <c r="U51"/>
  <c r="U52"/>
  <c r="U53"/>
  <c r="U54"/>
  <c r="U55"/>
  <c r="U56"/>
  <c r="U57"/>
  <c r="U58"/>
  <c r="U59"/>
  <c r="U60"/>
  <c r="U61"/>
  <c r="U62"/>
  <c r="U63"/>
  <c r="U64"/>
  <c r="U65"/>
  <c r="U66"/>
  <c r="U67"/>
  <c r="U68"/>
  <c r="U69"/>
  <c r="U70"/>
  <c r="U71"/>
  <c r="U72"/>
  <c r="U73"/>
  <c r="U74"/>
  <c r="U75"/>
  <c r="U76"/>
  <c r="U77"/>
  <c r="U78"/>
  <c r="U79"/>
  <c r="U80"/>
  <c r="U81"/>
  <c r="U82"/>
  <c r="U83"/>
  <c r="U84"/>
  <c r="U85"/>
  <c r="U86"/>
  <c r="U87"/>
  <c r="U88"/>
  <c r="U89"/>
  <c r="U90"/>
  <c r="U91"/>
  <c r="U92"/>
  <c r="U93"/>
  <c r="U94"/>
  <c r="U95"/>
  <c r="U96"/>
  <c r="U97"/>
  <c r="U98"/>
  <c r="U99"/>
  <c r="U7"/>
  <c r="P8"/>
  <c r="P9"/>
  <c r="P10"/>
  <c r="P11"/>
  <c r="P12"/>
  <c r="P13"/>
  <c r="P14"/>
  <c r="P15"/>
  <c r="P16"/>
  <c r="P17"/>
  <c r="P18"/>
  <c r="P19"/>
  <c r="P20"/>
  <c r="P21"/>
  <c r="P22"/>
  <c r="P23"/>
  <c r="P24"/>
  <c r="P25"/>
  <c r="P26"/>
  <c r="P27"/>
  <c r="P28"/>
  <c r="P29"/>
  <c r="P30"/>
  <c r="P31"/>
  <c r="P32"/>
  <c r="P33"/>
  <c r="P34"/>
  <c r="P35"/>
  <c r="P36"/>
  <c r="P37"/>
  <c r="P38"/>
  <c r="P39"/>
  <c r="P40"/>
  <c r="P41"/>
  <c r="P42"/>
  <c r="P43"/>
  <c r="P44"/>
  <c r="P45"/>
  <c r="P46"/>
  <c r="P47"/>
  <c r="P48"/>
  <c r="P49"/>
  <c r="P50"/>
  <c r="P51"/>
  <c r="P52"/>
  <c r="P53"/>
  <c r="P54"/>
  <c r="P55"/>
  <c r="P56"/>
  <c r="P57"/>
  <c r="P58"/>
  <c r="P59"/>
  <c r="P60"/>
  <c r="P61"/>
  <c r="P62"/>
  <c r="P63"/>
  <c r="P64"/>
  <c r="P65"/>
  <c r="P66"/>
  <c r="P67"/>
  <c r="P68"/>
  <c r="P69"/>
  <c r="P70"/>
  <c r="P71"/>
  <c r="P72"/>
  <c r="P73"/>
  <c r="P74"/>
  <c r="P75"/>
  <c r="P76"/>
  <c r="P77"/>
  <c r="P78"/>
  <c r="P79"/>
  <c r="P80"/>
  <c r="P81"/>
  <c r="P82"/>
  <c r="P83"/>
  <c r="P84"/>
  <c r="P85"/>
  <c r="P86"/>
  <c r="P87"/>
  <c r="P88"/>
  <c r="P89"/>
  <c r="P90"/>
  <c r="P91"/>
  <c r="P92"/>
  <c r="P93"/>
  <c r="P94"/>
  <c r="P95"/>
  <c r="P96"/>
  <c r="P97"/>
  <c r="P98"/>
  <c r="P99"/>
  <c r="P7"/>
  <c r="L8"/>
  <c r="L9"/>
  <c r="L10"/>
  <c r="L11"/>
  <c r="L12"/>
  <c r="L13"/>
  <c r="L14"/>
  <c r="L15"/>
  <c r="L16"/>
  <c r="L17"/>
  <c r="L18"/>
  <c r="L19"/>
  <c r="L20"/>
  <c r="L21"/>
  <c r="L22"/>
  <c r="L23"/>
  <c r="L24"/>
  <c r="L25"/>
  <c r="L26"/>
  <c r="L27"/>
  <c r="L28"/>
  <c r="L29"/>
  <c r="L30"/>
  <c r="L31"/>
  <c r="L32"/>
  <c r="L33"/>
  <c r="L34"/>
  <c r="L35"/>
  <c r="L36"/>
  <c r="L37"/>
  <c r="L38"/>
  <c r="L39"/>
  <c r="L40"/>
  <c r="L41"/>
  <c r="L42"/>
  <c r="L43"/>
  <c r="L44"/>
  <c r="L45"/>
  <c r="L46"/>
  <c r="L47"/>
  <c r="L48"/>
  <c r="L49"/>
  <c r="L50"/>
  <c r="L51"/>
  <c r="L52"/>
  <c r="L53"/>
  <c r="L54"/>
  <c r="L55"/>
  <c r="L56"/>
  <c r="L57"/>
  <c r="L58"/>
  <c r="L59"/>
  <c r="L60"/>
  <c r="L61"/>
  <c r="L62"/>
  <c r="L63"/>
  <c r="L64"/>
  <c r="L65"/>
  <c r="L66"/>
  <c r="L67"/>
  <c r="L68"/>
  <c r="L69"/>
  <c r="L70"/>
  <c r="L71"/>
  <c r="L72"/>
  <c r="L73"/>
  <c r="L74"/>
  <c r="L75"/>
  <c r="L76"/>
  <c r="L77"/>
  <c r="L78"/>
  <c r="L79"/>
  <c r="L80"/>
  <c r="L81"/>
  <c r="L82"/>
  <c r="L83"/>
  <c r="L84"/>
  <c r="L85"/>
  <c r="L86"/>
  <c r="L87"/>
  <c r="L88"/>
  <c r="L89"/>
  <c r="L90"/>
  <c r="L91"/>
  <c r="L92"/>
  <c r="L93"/>
  <c r="L94"/>
  <c r="L95"/>
  <c r="L96"/>
  <c r="L97"/>
  <c r="L98"/>
  <c r="L99"/>
  <c r="L7"/>
  <c r="AC97" l="1"/>
  <c r="AC93"/>
  <c r="AC89"/>
  <c r="C84" i="14" s="1"/>
  <c r="AC85" i="5"/>
  <c r="AC81"/>
  <c r="C76" i="14" s="1"/>
  <c r="AC77" i="5"/>
  <c r="AC73"/>
  <c r="AC69"/>
  <c r="AC65"/>
  <c r="C60" i="14" s="1"/>
  <c r="AC61" i="5"/>
  <c r="C56" i="14" s="1"/>
  <c r="AC57" i="5"/>
  <c r="AC53"/>
  <c r="AC49"/>
  <c r="AC45"/>
  <c r="AC41"/>
  <c r="AC37"/>
  <c r="C32" i="14" s="1"/>
  <c r="AC33" i="5"/>
  <c r="AC29"/>
  <c r="AC25"/>
  <c r="AC21"/>
  <c r="AC17"/>
  <c r="AC13"/>
  <c r="AC9"/>
  <c r="C4" i="14" s="1"/>
  <c r="AC7" i="5"/>
  <c r="AC96"/>
  <c r="AC92"/>
  <c r="AC88"/>
  <c r="C83" i="14" s="1"/>
  <c r="AC84" i="5"/>
  <c r="AC80"/>
  <c r="AC76"/>
  <c r="AC72"/>
  <c r="AC68"/>
  <c r="C63" i="14" s="1"/>
  <c r="AC64" i="5"/>
  <c r="AC60"/>
  <c r="AC56"/>
  <c r="AC52"/>
  <c r="AC48"/>
  <c r="C43" i="14" s="1"/>
  <c r="AC44" i="5"/>
  <c r="AC40"/>
  <c r="AC36"/>
  <c r="AC32"/>
  <c r="AC28"/>
  <c r="C23" i="14" s="1"/>
  <c r="AC24" i="5"/>
  <c r="AC20"/>
  <c r="AC16"/>
  <c r="AC12"/>
  <c r="AC8"/>
  <c r="AC98"/>
  <c r="AC94"/>
  <c r="AC90"/>
  <c r="AC86"/>
  <c r="AC82"/>
  <c r="C77" i="14" s="1"/>
  <c r="AC78" i="5"/>
  <c r="AC74"/>
  <c r="AC70"/>
  <c r="AC66"/>
  <c r="AC62"/>
  <c r="C57" i="14" s="1"/>
  <c r="AC58" i="5"/>
  <c r="C53" i="14" s="1"/>
  <c r="AC54" i="5"/>
  <c r="AC50"/>
  <c r="AC46"/>
  <c r="AC42"/>
  <c r="AC38"/>
  <c r="AC34"/>
  <c r="C29" i="14" s="1"/>
  <c r="AC30" i="5"/>
  <c r="AC26"/>
  <c r="AC22"/>
  <c r="C17" i="14" s="1"/>
  <c r="AC18" i="5"/>
  <c r="AC14"/>
  <c r="AC10"/>
  <c r="AC99"/>
  <c r="AC95"/>
  <c r="C90" i="14" s="1"/>
  <c r="AC91" i="5"/>
  <c r="AC87"/>
  <c r="C82" i="14" s="1"/>
  <c r="AC83" i="5"/>
  <c r="AC79"/>
  <c r="AC75"/>
  <c r="C70" i="14" s="1"/>
  <c r="AC71" i="5"/>
  <c r="AC67"/>
  <c r="AC63"/>
  <c r="AC59"/>
  <c r="AC55"/>
  <c r="AC51"/>
  <c r="C46" i="14" s="1"/>
  <c r="AC47" i="5"/>
  <c r="AC43"/>
  <c r="C38" i="14" s="1"/>
  <c r="AC39" i="5"/>
  <c r="AC35"/>
  <c r="AC31"/>
  <c r="AC27"/>
  <c r="AC23"/>
  <c r="AC19"/>
  <c r="AC15"/>
  <c r="AC11"/>
  <c r="C14" i="14" l="1"/>
  <c r="C30"/>
  <c r="C20"/>
  <c r="C36"/>
  <c r="C52"/>
  <c r="C68"/>
  <c r="C5"/>
  <c r="C21"/>
  <c r="C37"/>
  <c r="C87"/>
  <c r="C86"/>
  <c r="C88"/>
  <c r="C9"/>
  <c r="C25"/>
  <c r="C41"/>
  <c r="C10"/>
  <c r="C26"/>
  <c r="C42"/>
  <c r="C58"/>
  <c r="C74"/>
  <c r="C13"/>
  <c r="C45"/>
  <c r="C61"/>
  <c r="C93"/>
  <c r="C15"/>
  <c r="C31"/>
  <c r="C47"/>
  <c r="C79"/>
  <c r="C16"/>
  <c r="C48"/>
  <c r="C64"/>
  <c r="C80"/>
  <c r="C62"/>
  <c r="C78"/>
  <c r="C94"/>
  <c r="C33"/>
  <c r="C49"/>
  <c r="C65"/>
  <c r="C81"/>
  <c r="C3"/>
  <c r="C35"/>
  <c r="C51"/>
  <c r="C67"/>
  <c r="C18"/>
  <c r="C34"/>
  <c r="C50"/>
  <c r="C66"/>
  <c r="C69"/>
  <c r="C85"/>
  <c r="C7"/>
  <c r="C39"/>
  <c r="C55"/>
  <c r="C71"/>
  <c r="C8"/>
  <c r="C24"/>
  <c r="C40"/>
  <c r="C72"/>
  <c r="C6"/>
  <c r="C22"/>
  <c r="C54"/>
  <c r="C73"/>
  <c r="C89"/>
  <c r="C11"/>
  <c r="C27"/>
  <c r="C59"/>
  <c r="C75"/>
  <c r="C91"/>
  <c r="C12"/>
  <c r="C28"/>
  <c r="C44"/>
  <c r="C92"/>
  <c r="C19"/>
  <c r="C2"/>
</calcChain>
</file>

<file path=xl/sharedStrings.xml><?xml version="1.0" encoding="utf-8"?>
<sst xmlns="http://schemas.openxmlformats.org/spreadsheetml/2006/main" count="573" uniqueCount="253">
  <si>
    <t>ASIA INVESTMENS AND SUPREMAKET TRADING CO.</t>
  </si>
  <si>
    <t>2nd Floor, 506 Nguyen Dinh Chieu, Ward 6, Dictrict 3, HCM</t>
  </si>
  <si>
    <t>Tel:</t>
  </si>
  <si>
    <t>08 – 38328272 – 3832 8589</t>
  </si>
  <si>
    <t xml:space="preserve"> PURCHASE ORDER</t>
  </si>
  <si>
    <t>ĐƠN ĐẶT HÀNG</t>
  </si>
  <si>
    <r>
      <t xml:space="preserve">To / </t>
    </r>
    <r>
      <rPr>
        <i/>
        <sz val="10"/>
        <color rgb="FF000000"/>
        <rFont val="Arial1"/>
      </rPr>
      <t>Đến</t>
    </r>
  </si>
  <si>
    <t>Delivery To /</t>
  </si>
  <si>
    <t>Giant Q.7</t>
  </si>
  <si>
    <t>:</t>
  </si>
  <si>
    <t>71/5 Nguyen Trai, Q.1</t>
  </si>
  <si>
    <t>Tầng Hầm B1, Crescent Mall,</t>
  </si>
  <si>
    <r>
      <t xml:space="preserve">Tel / </t>
    </r>
    <r>
      <rPr>
        <i/>
        <sz val="10"/>
        <color rgb="FF000000"/>
        <rFont val="Arial1"/>
      </rPr>
      <t>Điện thoại</t>
    </r>
  </si>
  <si>
    <t>Đại Lộ Nguyễn Văn Linh, Q7</t>
  </si>
  <si>
    <r>
      <t xml:space="preserve">Attn </t>
    </r>
    <r>
      <rPr>
        <i/>
        <sz val="10"/>
        <color rgb="FF000000"/>
        <rFont val="Arial1"/>
      </rPr>
      <t>Người nhận</t>
    </r>
  </si>
  <si>
    <t>Ms. Tiên: 0128.9608.638</t>
  </si>
  <si>
    <t>Unit
ĐVT</t>
  </si>
  <si>
    <t>Qty / Số lượng</t>
  </si>
  <si>
    <t>Amount
Thành tiền
(VND)</t>
  </si>
  <si>
    <t>VAT
Thue GTGT(10%)</t>
  </si>
  <si>
    <r>
      <t xml:space="preserve">Total
</t>
    </r>
    <r>
      <rPr>
        <i/>
        <sz val="10"/>
        <color rgb="FF000000"/>
        <rFont val="Arial1"/>
      </rPr>
      <t>Tổng tiền</t>
    </r>
    <r>
      <rPr>
        <i/>
        <sz val="10"/>
        <color rgb="FF000000"/>
        <rFont val="Arial1"/>
      </rPr>
      <t xml:space="preserve">
(VND)</t>
    </r>
  </si>
  <si>
    <t>cuộn</t>
  </si>
  <si>
    <r>
      <t>Terms &amp; Conditions</t>
    </r>
    <r>
      <rPr>
        <i/>
        <u/>
        <sz val="10"/>
        <color rgb="FF000000"/>
        <rFont val="Arial"/>
        <family val="2"/>
      </rPr>
      <t xml:space="preserve"> Các điều kiện &amp; điều khoản:</t>
    </r>
  </si>
  <si>
    <t>*</t>
  </si>
  <si>
    <r>
      <t xml:space="preserve">This PO number MUST be printed on your Delivery Order and Invoice.
</t>
    </r>
    <r>
      <rPr>
        <i/>
        <sz val="10"/>
        <color rgb="FF000000"/>
        <rFont val="Arial"/>
        <family val="2"/>
      </rPr>
      <t>Đơn mua hàng này phải được in cùng với đơn giao nhận hàng và hóa đơn</t>
    </r>
  </si>
  <si>
    <r>
      <t xml:space="preserve">Deadline for Delivery
</t>
    </r>
    <r>
      <rPr>
        <i/>
        <sz val="10"/>
        <color rgb="FF000000"/>
        <rFont val="Arial"/>
        <family val="2"/>
      </rPr>
      <t>Thời hạn giao hàng</t>
    </r>
  </si>
  <si>
    <r>
      <t xml:space="preserve">Quotation / Tender No. </t>
    </r>
    <r>
      <rPr>
        <i/>
        <sz val="10"/>
        <color rgb="FF000000"/>
        <rFont val="Arial"/>
        <family val="2"/>
      </rPr>
      <t>Bảng báo giá số</t>
    </r>
  </si>
  <si>
    <r>
      <t xml:space="preserve">Terms of Payment
</t>
    </r>
    <r>
      <rPr>
        <i/>
        <sz val="10"/>
        <color rgb="FF000000"/>
        <rFont val="Arial"/>
        <family val="2"/>
      </rPr>
      <t>Phương thức thanh toán</t>
    </r>
  </si>
  <si>
    <r>
      <t xml:space="preserve">Quotation / Tender Date. </t>
    </r>
    <r>
      <rPr>
        <i/>
        <sz val="10"/>
        <color rgb="FF000000"/>
        <rFont val="Arial"/>
        <family val="2"/>
      </rPr>
      <t>Ngày thể hiện trên bảng báo giá</t>
    </r>
  </si>
  <si>
    <r>
      <t xml:space="preserve">Other Terms
</t>
    </r>
    <r>
      <rPr>
        <i/>
        <sz val="10"/>
        <color rgb="FF000000"/>
        <rFont val="Arial"/>
        <family val="2"/>
      </rPr>
      <t>Các điều khoản khác</t>
    </r>
  </si>
  <si>
    <r>
      <t>Issued by</t>
    </r>
    <r>
      <rPr>
        <i/>
        <sz val="10"/>
        <color rgb="FF000000"/>
        <rFont val="Arial"/>
        <family val="2"/>
      </rPr>
      <t xml:space="preserve"> Yêu cầu bởi:</t>
    </r>
  </si>
  <si>
    <r>
      <t>Authorised by</t>
    </r>
    <r>
      <rPr>
        <i/>
        <sz val="10"/>
        <color rgb="FF000000"/>
        <rFont val="Arial"/>
        <family val="2"/>
      </rPr>
      <t xml:space="preserve"> Chấp thuận bởi</t>
    </r>
  </si>
  <si>
    <t>Name Tên</t>
  </si>
  <si>
    <r>
      <t xml:space="preserve">Position
</t>
    </r>
    <r>
      <rPr>
        <i/>
        <sz val="10"/>
        <color rgb="FF000000"/>
        <rFont val="Arial"/>
        <family val="2"/>
      </rPr>
      <t>Chức vụ</t>
    </r>
  </si>
  <si>
    <t>Admin</t>
  </si>
  <si>
    <r>
      <t xml:space="preserve">Position </t>
    </r>
    <r>
      <rPr>
        <i/>
        <sz val="10"/>
        <color rgb="FF000000"/>
        <rFont val="Arial"/>
        <family val="2"/>
      </rPr>
      <t>Chức vụ: GĐ Nhân Sự</t>
    </r>
  </si>
  <si>
    <r>
      <t>Date N</t>
    </r>
    <r>
      <rPr>
        <i/>
        <sz val="10"/>
        <color rgb="FF000000"/>
        <rFont val="Arial"/>
        <family val="2"/>
      </rPr>
      <t>gày</t>
    </r>
  </si>
  <si>
    <r>
      <t>Date N</t>
    </r>
    <r>
      <rPr>
        <i/>
        <sz val="10"/>
        <color rgb="FF000000"/>
        <rFont val="Arial"/>
        <family val="2"/>
      </rPr>
      <t>gày:</t>
    </r>
  </si>
  <si>
    <t>`</t>
  </si>
  <si>
    <t xml:space="preserve">Name Tên: </t>
  </si>
  <si>
    <r>
      <t xml:space="preserve">No.
</t>
    </r>
    <r>
      <rPr>
        <i/>
        <sz val="10"/>
        <color rgb="FFFF0000"/>
        <rFont val="Arial1"/>
      </rPr>
      <t>Stt</t>
    </r>
  </si>
  <si>
    <r>
      <t xml:space="preserve">Details / </t>
    </r>
    <r>
      <rPr>
        <i/>
        <sz val="10"/>
        <color rgb="FFFF0000"/>
        <rFont val="Arial1"/>
      </rPr>
      <t>Chi tiết</t>
    </r>
  </si>
  <si>
    <r>
      <t xml:space="preserve">Unit Price
</t>
    </r>
    <r>
      <rPr>
        <i/>
        <sz val="10"/>
        <color rgb="FFFF0000"/>
        <rFont val="Arial1"/>
      </rPr>
      <t>Đơn giá
(VND)</t>
    </r>
  </si>
  <si>
    <r>
      <t xml:space="preserve">Details / </t>
    </r>
    <r>
      <rPr>
        <i/>
        <sz val="10"/>
        <rFont val="Arial"/>
        <family val="2"/>
      </rPr>
      <t>Chi tiết</t>
    </r>
  </si>
  <si>
    <r>
      <t xml:space="preserve">Unit Price
</t>
    </r>
    <r>
      <rPr>
        <i/>
        <sz val="10"/>
        <rFont val="Arial"/>
        <family val="2"/>
      </rPr>
      <t>Đơn giá
(VND)</t>
    </r>
  </si>
  <si>
    <t>hộp</t>
  </si>
  <si>
    <t>cái</t>
  </si>
  <si>
    <t>Bấm kim số 03</t>
  </si>
  <si>
    <t>cái</t>
  </si>
  <si>
    <t>Băng keo giấy</t>
  </si>
  <si>
    <t>Băng keo trong 2cm</t>
  </si>
  <si>
    <t>cuộn</t>
  </si>
  <si>
    <t>Bìa kẹp trình ký</t>
  </si>
  <si>
    <t>tờ</t>
  </si>
  <si>
    <t>Bìa nút</t>
  </si>
  <si>
    <t>xấp</t>
  </si>
  <si>
    <t>Chổi lông gà</t>
  </si>
  <si>
    <t>cây</t>
  </si>
  <si>
    <t>Chổi trung quét bàn phím</t>
  </si>
  <si>
    <t>Cây</t>
  </si>
  <si>
    <t>Chai</t>
  </si>
  <si>
    <t>Đinh ghim bảng đầu nhựa</t>
  </si>
  <si>
    <t>bịch</t>
  </si>
  <si>
    <t>Đồ lau bảng (sử dụng bảng viết lông)</t>
  </si>
  <si>
    <t xml:space="preserve">Giấy bấm giá TTH </t>
  </si>
  <si>
    <t>Hồ nước</t>
  </si>
  <si>
    <t>Kéo lớn S100</t>
  </si>
  <si>
    <t xml:space="preserve">Kéo nhỏ NO.S120 </t>
  </si>
  <si>
    <t>lọ</t>
  </si>
  <si>
    <t xml:space="preserve">Kẹp bảng tên </t>
  </si>
  <si>
    <t>hộp</t>
  </si>
  <si>
    <t xml:space="preserve">Ly nhựa 390ml </t>
  </si>
  <si>
    <t>Lọ</t>
  </si>
  <si>
    <t>Mực viết lông bảng</t>
  </si>
  <si>
    <t>Nước rửa chén giặt khăn</t>
  </si>
  <si>
    <t>Nước tẩy Sumo đa năng 700g</t>
  </si>
  <si>
    <t>chai</t>
  </si>
  <si>
    <t>Pin Con Ó 2A (thử đồ chơi)</t>
  </si>
  <si>
    <t>cục</t>
  </si>
  <si>
    <t>Ruột viết chì 0.5</t>
  </si>
  <si>
    <t>Ruột viết chì 0.7</t>
  </si>
  <si>
    <t>Cuốn</t>
  </si>
  <si>
    <t>Sổ ghi nhật ký (sổ trung cắt sẵn)</t>
  </si>
  <si>
    <t>cuốn</t>
  </si>
  <si>
    <t>Cục</t>
  </si>
  <si>
    <t>Viết Chì Kim 0.5</t>
  </si>
  <si>
    <t>Viết Chì Kim 0.7</t>
  </si>
  <si>
    <t>Viết dạ quang hồng</t>
  </si>
  <si>
    <t>Viết dạ quang vàng</t>
  </si>
  <si>
    <t>Viết dây để bàn đôi Bến nghé</t>
  </si>
  <si>
    <t>bộ</t>
  </si>
  <si>
    <t>Viết dây để bàn đơn Bến nghé</t>
  </si>
  <si>
    <t>Viết để bàn Thiên Long</t>
  </si>
  <si>
    <t>Viết lông bảng Maker đỏ</t>
  </si>
  <si>
    <t xml:space="preserve">Nước rửa kính Gift 580ml </t>
  </si>
  <si>
    <t>Cái</t>
  </si>
  <si>
    <t>Keo 502</t>
  </si>
  <si>
    <t>DANH SÁCH VĂN PHÒNG PHẨM  NGANH HANG THANG07</t>
  </si>
  <si>
    <t>Bộ phận : Sale Support</t>
  </si>
  <si>
    <t xml:space="preserve">Ngày đặt : </t>
  </si>
  <si>
    <t>SALES SUPPORT</t>
  </si>
  <si>
    <t>FRESH</t>
  </si>
  <si>
    <t>GROCERY</t>
  </si>
  <si>
    <t>GMS</t>
  </si>
  <si>
    <t>TỔNG
SẢN
PHẨM</t>
  </si>
  <si>
    <t>Stt</t>
  </si>
  <si>
    <t>Tên sản phẩm</t>
  </si>
  <si>
    <t>Đvt</t>
  </si>
  <si>
    <t>Cashiering</t>
  </si>
  <si>
    <t>Customer
Service</t>
  </si>
  <si>
    <t>Good
Receiving</t>
  </si>
  <si>
    <t>LP</t>
  </si>
  <si>
    <t>VMD</t>
  </si>
  <si>
    <t>HR</t>
  </si>
  <si>
    <t>Tổng</t>
  </si>
  <si>
    <t>C&amp;F</t>
  </si>
  <si>
    <t>F&amp;V</t>
  </si>
  <si>
    <t>Meat
Seafood</t>
  </si>
  <si>
    <t>G1</t>
  </si>
  <si>
    <t>G2</t>
  </si>
  <si>
    <t>G3G4</t>
  </si>
  <si>
    <t>G5</t>
  </si>
  <si>
    <t>Clothing 
Footwear</t>
  </si>
  <si>
    <t>DIY
BabyGoodS</t>
  </si>
  <si>
    <t>Electrical</t>
  </si>
  <si>
    <t>Home
Furnishing</t>
  </si>
  <si>
    <t>House
Hold</t>
  </si>
  <si>
    <t>Stationery  
Toy</t>
  </si>
  <si>
    <t>Chỗi nylon trung</t>
  </si>
  <si>
    <t>Giá</t>
  </si>
  <si>
    <t>VAT
Thue GTGT
(10%)</t>
  </si>
  <si>
    <t>Lầu 2, 506 Nguyễn Đình Chiểu , F4, Q3 , TPHCM</t>
  </si>
  <si>
    <r>
      <t xml:space="preserve">To / </t>
    </r>
    <r>
      <rPr>
        <i/>
        <sz val="10"/>
        <rFont val="Arial"/>
        <family val="2"/>
      </rPr>
      <t>Đến</t>
    </r>
  </si>
  <si>
    <t xml:space="preserve">Delivery To / Giant Q.7 </t>
  </si>
  <si>
    <t xml:space="preserve">Tầng Hầm B1, Crescent Mall, </t>
  </si>
  <si>
    <t>Ms Tiên : 01289 608 638</t>
  </si>
  <si>
    <t xml:space="preserve">                  ASIA INVESTMENS AND SUPREMAKET TRADING CO.</t>
  </si>
  <si>
    <t>MST:</t>
  </si>
  <si>
    <r>
      <t>Issued by</t>
    </r>
    <r>
      <rPr>
        <i/>
        <sz val="10"/>
        <rFont val="Arial"/>
        <family val="2"/>
      </rPr>
      <t xml:space="preserve"> Yêu cầu bởi:</t>
    </r>
  </si>
  <si>
    <r>
      <t>Authorised by</t>
    </r>
    <r>
      <rPr>
        <i/>
        <sz val="10"/>
        <rFont val="Arial"/>
        <family val="2"/>
      </rPr>
      <t xml:space="preserve"> Chấp thuận bởi</t>
    </r>
  </si>
  <si>
    <t>Date/Ngày:</t>
  </si>
  <si>
    <r>
      <t xml:space="preserve">Position/ </t>
    </r>
    <r>
      <rPr>
        <i/>
        <sz val="10"/>
        <rFont val="Arial"/>
        <family val="2"/>
      </rPr>
      <t>Chức vụ:
STAFF</t>
    </r>
  </si>
  <si>
    <r>
      <t xml:space="preserve">Name/Ten:
</t>
    </r>
    <r>
      <rPr>
        <i/>
        <sz val="11"/>
        <rFont val="Arial"/>
        <family val="2"/>
      </rPr>
      <t>Dương Nguyễn Thủy Tiên</t>
    </r>
  </si>
  <si>
    <t>Tổng Cộng:</t>
  </si>
  <si>
    <t>Bìa 1 Nút F4</t>
  </si>
  <si>
    <t>Bìa Accord A4</t>
  </si>
  <si>
    <t>Bìa Lá A4 Plus</t>
  </si>
  <si>
    <t>Bìa Thái A4 Sunflower</t>
  </si>
  <si>
    <t>Kéo Suremark-8815</t>
  </si>
  <si>
    <t>Máy Tính Casio Js-120L/Jf-120</t>
  </si>
  <si>
    <t>Acco Nhựa</t>
  </si>
  <si>
    <t>Bấm Kim 10E Tr - Plus</t>
  </si>
  <si>
    <t>Bấm Lổ Eagle 837</t>
  </si>
  <si>
    <t>Băng Keo 2 Mặt 1,6Cm</t>
  </si>
  <si>
    <t>Băng Keo 2 Mặt Xốp 2,4Cm</t>
  </si>
  <si>
    <t>Băng Keo Trong 5Cm 80Yards</t>
  </si>
  <si>
    <t>Bảng Tên Nhựa Dẻo (Đứng)</t>
  </si>
  <si>
    <t>Bảng Tên Nhựa Dẻo (Ngang)</t>
  </si>
  <si>
    <t>Băng Xóa Mini 5 Series Bag Jpn</t>
  </si>
  <si>
    <t>Bìa Còng 7P 2 Mặt Si A4</t>
  </si>
  <si>
    <t>Bìa Còng 7P 2 Mặt Si F4</t>
  </si>
  <si>
    <t>Bìa Lổ A4</t>
  </si>
  <si>
    <t>Bìa Trình Ký Nhựa A4</t>
  </si>
  <si>
    <t>Cắt Băng Keo 5P Cầm Tay</t>
  </si>
  <si>
    <t>Chuốt Chì Nhỏ Sdi 0137</t>
  </si>
  <si>
    <t>Cồn Nhỏ</t>
  </si>
  <si>
    <t>Dao Rọc Giấy Lớn Tth 280</t>
  </si>
  <si>
    <t>Dao rọc giấy nhỏ SDI (loại 3 lưỡi)</t>
  </si>
  <si>
    <t>Dao Rọc Giấy Lớn Sdi</t>
  </si>
  <si>
    <t>Dao Rọc Giấy Nhỏ Sdi</t>
  </si>
  <si>
    <t>Keo Nước Thiên Long Lớn 30Ml</t>
  </si>
  <si>
    <t>Kim Kẹp Giấy Sắt C62</t>
  </si>
  <si>
    <t>Khăn Trắng</t>
  </si>
  <si>
    <t>Kệ 3 Tầng Mica</t>
  </si>
  <si>
    <t>Kệ 2 Tầng Mica</t>
  </si>
  <si>
    <t>Kim Bấm 10 Plus</t>
  </si>
  <si>
    <t>Kim Bấm 03 Plus</t>
  </si>
  <si>
    <t>Mực Viết Lông Dầu Artline (đen)</t>
  </si>
  <si>
    <t>Mực Viết Lông Dầu Artline (đỏ)</t>
  </si>
  <si>
    <t>Mực Shiny (đỏ)</t>
  </si>
  <si>
    <t>Nhựa Ép Plastic A4 D9L 80</t>
  </si>
  <si>
    <t>Sáp Đếm Tiền</t>
  </si>
  <si>
    <t>Sổ Caro 25X35 Dày (cắt đầu)</t>
  </si>
  <si>
    <t>Viết Lông Dầu Artline 700 (đỏ)</t>
  </si>
  <si>
    <t>Viết Lông Dầu Artline 700 (đen)</t>
  </si>
  <si>
    <t>Viết Lông Dầu Artline 725 (đen)</t>
  </si>
  <si>
    <t>Viết Lông Dầu Artline 725 (đỏ)</t>
  </si>
  <si>
    <t>Viết Lông Dầu Artline 90 (đen)</t>
  </si>
  <si>
    <t>Viết Lông Dầu Artline 90 (đỏ)</t>
  </si>
  <si>
    <t>Viết Bic Thiên Long 027 (đỏ)</t>
  </si>
  <si>
    <t>Viết Bic Thiên Long 027 (xanh)</t>
  </si>
  <si>
    <t>Viết Chì 2B Thiên Long</t>
  </si>
  <si>
    <t>Viết Lông Dầu Apolo 777 (đỏ)</t>
  </si>
  <si>
    <t>Viết Lông Dầu Apolo Xanh 777</t>
  </si>
  <si>
    <t>Viết Xóa Thiên Long Cp-05</t>
  </si>
  <si>
    <t>Viết Lông Bảng Xanh Thiên Long</t>
  </si>
  <si>
    <t>Kẹp Bướm 19Mm</t>
  </si>
  <si>
    <t>Kẹp Bướm 25Mm</t>
  </si>
  <si>
    <t>Kẹp Bướm 32Mm</t>
  </si>
  <si>
    <t>Kẹp Bướm 41Mm</t>
  </si>
  <si>
    <t>Kẹp Bướm 51Mm</t>
  </si>
  <si>
    <t>Ly Nhựa 411 140Ml</t>
  </si>
  <si>
    <t>Bao Thư Cửa Sổ 12X22</t>
  </si>
  <si>
    <t>Bao Thư Trắng 12X22-80G/M2</t>
  </si>
  <si>
    <t>Bao Thư Trắng 25X35-80G/M2</t>
  </si>
  <si>
    <t>Bao Thư Trắng A5</t>
  </si>
  <si>
    <t>Ly nhựa nhỏ Tân Hiệp Hưng 399</t>
  </si>
  <si>
    <t>băng keo 2.5p 100 yard</t>
  </si>
  <si>
    <t>Cana đánh bóng 220g</t>
  </si>
  <si>
    <t>Rổ xéo nhựa 1 ngăn - xanh dương</t>
  </si>
  <si>
    <t>Giấy gói quà</t>
  </si>
  <si>
    <t>tờ</t>
  </si>
  <si>
    <t>Kỹ Thuật,QA</t>
  </si>
  <si>
    <t xml:space="preserve">Tập 100 Trang </t>
  </si>
  <si>
    <t>Tập  200 trang</t>
  </si>
  <si>
    <t>Bút lông dầu Artline EK 100 đen</t>
  </si>
  <si>
    <t>Bút lông dầu Artline EK 100 đỏ</t>
  </si>
  <si>
    <t>Giấy ghi chú 1''*2</t>
  </si>
  <si>
    <t>Giấy ghi chú 2''*3</t>
  </si>
  <si>
    <t>Giấy ghi chú 3''*3</t>
  </si>
  <si>
    <t>Giấy ghi chú 3''*4</t>
  </si>
  <si>
    <t>Gôm TL nhỏ</t>
  </si>
  <si>
    <t>Gôm TL trung</t>
  </si>
  <si>
    <t>Sổ Caro 30X40 Dày (cắt đầu)</t>
  </si>
  <si>
    <t>Công ty Phương Nam</t>
  </si>
  <si>
    <t xml:space="preserve"> Tel / Điện thoại:             3758.4761-37583302 </t>
  </si>
  <si>
    <t>Fax: (84-8) 37583302</t>
  </si>
  <si>
    <r>
      <t xml:space="preserve">Attn </t>
    </r>
    <r>
      <rPr>
        <i/>
        <sz val="10"/>
        <rFont val="Arial"/>
        <family val="2"/>
      </rPr>
      <t xml:space="preserve">Người nhận </t>
    </r>
  </si>
  <si>
    <t>Details / Chi tiết</t>
  </si>
  <si>
    <r>
      <t xml:space="preserve">No.
</t>
    </r>
    <r>
      <rPr>
        <i/>
        <sz val="10"/>
        <rFont val="Arial1"/>
      </rPr>
      <t>Stt</t>
    </r>
  </si>
  <si>
    <r>
      <t xml:space="preserve">Unit Price
</t>
    </r>
    <r>
      <rPr>
        <i/>
        <sz val="10"/>
        <rFont val="Arial1"/>
      </rPr>
      <t>Đơn giá
(VND)</t>
    </r>
  </si>
  <si>
    <t>ĐỊA CHỈ / ADDRESS :          A35/32K Nguyễn Văn Linh-Q7</t>
  </si>
  <si>
    <r>
      <t xml:space="preserve"> Supplier Confirm/</t>
    </r>
    <r>
      <rPr>
        <i/>
        <sz val="10"/>
        <rFont val="Arial"/>
        <family val="2"/>
      </rPr>
      <t xml:space="preserve"> Xác nhận</t>
    </r>
  </si>
  <si>
    <t xml:space="preserve">Name/ Tên:
</t>
  </si>
  <si>
    <r>
      <t xml:space="preserve">Position/ </t>
    </r>
    <r>
      <rPr>
        <i/>
        <sz val="10"/>
        <rFont val="Arial"/>
        <family val="2"/>
      </rPr>
      <t xml:space="preserve">Chức vụ:
</t>
    </r>
  </si>
  <si>
    <t>Dây thun</t>
  </si>
  <si>
    <t>Khay 2 tầng mica</t>
  </si>
  <si>
    <t>Khay 3 tầng mica</t>
  </si>
  <si>
    <t>Phương Nam Stationery</t>
  </si>
  <si>
    <t xml:space="preserve">  A35/32K Nguyễn Văn Linh-Q7</t>
  </si>
  <si>
    <t>Nơ rút gói quà loại nhỏ</t>
  </si>
  <si>
    <t>Nơ rút gói quà loại trung</t>
  </si>
  <si>
    <t>Nơ rút gói quà loại lớn</t>
  </si>
  <si>
    <t xml:space="preserve">ĐƠN ĐẶT HÀNG THÁNG </t>
  </si>
  <si>
    <t xml:space="preserve">Date/Ngày: </t>
  </si>
  <si>
    <r>
      <t xml:space="preserve"> Position/ </t>
    </r>
    <r>
      <rPr>
        <i/>
        <sz val="10"/>
        <rFont val="Arial"/>
        <family val="2"/>
      </rPr>
      <t xml:space="preserve">Chức vụ:
</t>
    </r>
  </si>
  <si>
    <t xml:space="preserve">Name/ Tên:Đặng Trần Nhật Ngân
</t>
  </si>
  <si>
    <t>Giấy phân trang</t>
  </si>
  <si>
    <t>Cây ghim giấy</t>
  </si>
  <si>
    <t>Băng keo 2.5p 100 yard</t>
  </si>
  <si>
    <t>Băng keo trong 4F7 x100yard</t>
  </si>
  <si>
    <t>Giấy Excell A4 72</t>
  </si>
  <si>
    <t>ram</t>
  </si>
</sst>
</file>

<file path=xl/styles.xml><?xml version="1.0" encoding="utf-8"?>
<styleSheet xmlns="http://schemas.openxmlformats.org/spreadsheetml/2006/main">
  <numFmts count="9">
    <numFmt numFmtId="43" formatCode="_(* #,##0.00_);_(* \(#,##0.00\);_(* &quot;-&quot;??_);_(@_)"/>
    <numFmt numFmtId="164" formatCode="#,##0.00&quot; &quot;;&quot; (&quot;#,##0.00&quot;)&quot;;&quot; -&quot;#&quot; &quot;;@&quot; &quot;"/>
    <numFmt numFmtId="165" formatCode="#,##0&quot; &quot;;&quot; (&quot;#,##0&quot;)&quot;;&quot; -&quot;#&quot; &quot;;@&quot; &quot;"/>
    <numFmt numFmtId="166" formatCode="dd\-mmm\-yy;@"/>
    <numFmt numFmtId="167" formatCode="mm/dd/yy"/>
    <numFmt numFmtId="168" formatCode="#,##0.00\ ;&quot; (&quot;#,##0.00\);&quot; -&quot;#\ ;@\ "/>
    <numFmt numFmtId="169" formatCode="#,##0\ ;&quot; (&quot;#,##0\);&quot; -&quot;#\ ;@\ "/>
    <numFmt numFmtId="170" formatCode="0\ ;&quot; (&quot;0\);&quot; -&quot;#\ ;@\ "/>
    <numFmt numFmtId="171" formatCode="_(* #,##0.00_);_(* \(#,##0.00\);_(* \-??_);_(@_)"/>
  </numFmts>
  <fonts count="5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000000"/>
      <name val="Arial1"/>
    </font>
    <font>
      <b/>
      <sz val="15"/>
      <color rgb="FF000000"/>
      <name val="Arial1"/>
    </font>
    <font>
      <b/>
      <sz val="10"/>
      <color rgb="FF000000"/>
      <name val="Arial1"/>
    </font>
    <font>
      <sz val="11"/>
      <color rgb="FF000000"/>
      <name val="Arial1"/>
    </font>
    <font>
      <b/>
      <sz val="14"/>
      <color rgb="FF000000"/>
      <name val="Arial"/>
      <family val="2"/>
    </font>
    <font>
      <i/>
      <sz val="14"/>
      <color rgb="FF000000"/>
      <name val="Arial"/>
      <family val="2"/>
    </font>
    <font>
      <i/>
      <sz val="10"/>
      <color rgb="FF000000"/>
      <name val="Arial1"/>
    </font>
    <font>
      <sz val="12"/>
      <color rgb="FF000000"/>
      <name val="Arial1"/>
    </font>
    <font>
      <sz val="10"/>
      <color rgb="FF000000"/>
      <name val="VNI-Times"/>
    </font>
    <font>
      <b/>
      <sz val="10"/>
      <color rgb="FF000000"/>
      <name val="Arial"/>
      <family val="2"/>
    </font>
    <font>
      <b/>
      <sz val="13"/>
      <color rgb="FF000000"/>
      <name val="Arial1"/>
    </font>
    <font>
      <b/>
      <sz val="12"/>
      <color rgb="FF000000"/>
      <name val="Arial1"/>
    </font>
    <font>
      <u/>
      <sz val="10"/>
      <color rgb="FF000000"/>
      <name val="Arial"/>
      <family val="2"/>
    </font>
    <font>
      <i/>
      <u/>
      <sz val="10"/>
      <color rgb="FF000000"/>
      <name val="Arial"/>
      <family val="2"/>
    </font>
    <font>
      <sz val="11"/>
      <color rgb="FF000000"/>
      <name val="Calibri"/>
      <family val="2"/>
    </font>
    <font>
      <i/>
      <sz val="10"/>
      <color rgb="FF000000"/>
      <name val="Arial"/>
      <family val="2"/>
    </font>
    <font>
      <sz val="10"/>
      <color rgb="FFFF0000"/>
      <name val="Arial1"/>
    </font>
    <font>
      <i/>
      <sz val="10"/>
      <color rgb="FFFF0000"/>
      <name val="Arial1"/>
    </font>
    <font>
      <sz val="10"/>
      <name val="Arial"/>
      <family val="2"/>
    </font>
    <font>
      <sz val="10"/>
      <color indexed="9"/>
      <name val="Arial"/>
      <family val="2"/>
    </font>
    <font>
      <sz val="20"/>
      <name val="Arial"/>
      <family val="2"/>
    </font>
    <font>
      <i/>
      <sz val="10"/>
      <name val="Arial"/>
      <family val="2"/>
    </font>
    <font>
      <sz val="10"/>
      <color indexed="8"/>
      <name val="Arial2"/>
    </font>
    <font>
      <sz val="10"/>
      <color indexed="8"/>
      <name val="Arial11"/>
    </font>
    <font>
      <sz val="10"/>
      <name val="Arial11"/>
    </font>
    <font>
      <b/>
      <sz val="12"/>
      <name val="Arial"/>
      <family val="2"/>
    </font>
    <font>
      <b/>
      <sz val="15"/>
      <name val="Arial"/>
      <family val="2"/>
    </font>
    <font>
      <sz val="11"/>
      <name val="Arial"/>
      <family val="2"/>
    </font>
    <font>
      <sz val="12"/>
      <name val="Arial"/>
      <family val="2"/>
    </font>
    <font>
      <sz val="10.5"/>
      <name val="Arial"/>
      <family val="2"/>
    </font>
    <font>
      <u/>
      <sz val="10"/>
      <name val="Arial"/>
      <family val="2"/>
    </font>
    <font>
      <i/>
      <sz val="11"/>
      <name val="Arial"/>
      <family val="2"/>
    </font>
    <font>
      <sz val="16"/>
      <color indexed="9"/>
      <name val="Arial"/>
      <family val="2"/>
    </font>
    <font>
      <sz val="16"/>
      <name val="Arial"/>
      <family val="2"/>
    </font>
    <font>
      <b/>
      <sz val="8"/>
      <name val="Arial"/>
      <family val="2"/>
    </font>
    <font>
      <b/>
      <sz val="10"/>
      <color indexed="9"/>
      <name val="Arial"/>
      <family val="2"/>
    </font>
    <font>
      <b/>
      <sz val="20"/>
      <color indexed="9"/>
      <name val="Arial"/>
      <family val="2"/>
    </font>
    <font>
      <sz val="20"/>
      <color indexed="9"/>
      <name val="Arial"/>
      <family val="2"/>
    </font>
    <font>
      <sz val="11"/>
      <color indexed="8"/>
      <name val="Calibri"/>
      <family val="2"/>
    </font>
    <font>
      <sz val="10"/>
      <color indexed="8"/>
      <name val="MS Sans Serif"/>
      <family val="2"/>
    </font>
    <font>
      <sz val="10"/>
      <color indexed="8"/>
      <name val="Arial"/>
      <family val="2"/>
    </font>
    <font>
      <b/>
      <sz val="20"/>
      <name val="Arial"/>
      <family val="2"/>
    </font>
    <font>
      <b/>
      <sz val="20"/>
      <color theme="1"/>
      <name val="Arial"/>
      <family val="2"/>
    </font>
    <font>
      <sz val="12"/>
      <color theme="1"/>
      <name val="Arial"/>
      <family val="2"/>
    </font>
    <font>
      <b/>
      <sz val="20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9"/>
      <color indexed="9"/>
      <name val="Arial"/>
      <family val="2"/>
    </font>
    <font>
      <sz val="10"/>
      <name val="Arial1"/>
    </font>
    <font>
      <i/>
      <sz val="10"/>
      <name val="Arial1"/>
    </font>
    <font>
      <b/>
      <sz val="1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indexed="9"/>
        <bgColor indexed="26"/>
      </patternFill>
    </fill>
    <fill>
      <patternFill patternType="solid">
        <fgColor indexed="44"/>
        <bgColor indexed="24"/>
      </patternFill>
    </fill>
    <fill>
      <patternFill patternType="solid">
        <fgColor indexed="17"/>
        <bgColor indexed="57"/>
      </patternFill>
    </fill>
    <fill>
      <patternFill patternType="solid">
        <fgColor indexed="30"/>
        <bgColor indexed="48"/>
      </patternFill>
    </fill>
    <fill>
      <patternFill patternType="solid">
        <fgColor indexed="52"/>
        <bgColor indexed="53"/>
      </patternFill>
    </fill>
    <fill>
      <patternFill patternType="solid">
        <fgColor indexed="40"/>
        <bgColor indexed="49"/>
      </patternFill>
    </fill>
    <fill>
      <patternFill patternType="solid">
        <fgColor indexed="13"/>
        <bgColor indexed="3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34"/>
      </patternFill>
    </fill>
    <fill>
      <patternFill patternType="solid">
        <fgColor theme="0"/>
        <bgColor indexed="64"/>
      </patternFill>
    </fill>
  </fills>
  <borders count="31">
    <border>
      <left/>
      <right/>
      <top/>
      <bottom/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8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rgb="FF000000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</borders>
  <cellStyleXfs count="21">
    <xf numFmtId="0" fontId="0" fillId="0" borderId="0"/>
    <xf numFmtId="43" fontId="1" fillId="0" borderId="0" applyFont="0" applyFill="0" applyBorder="0" applyAlignment="0" applyProtection="0"/>
    <xf numFmtId="164" fontId="2" fillId="0" borderId="0" applyBorder="0" applyProtection="0"/>
    <xf numFmtId="0" fontId="2" fillId="0" borderId="0" applyNumberFormat="0" applyBorder="0" applyProtection="0"/>
    <xf numFmtId="0" fontId="20" fillId="0" borderId="0"/>
    <xf numFmtId="168" fontId="20" fillId="0" borderId="0" applyFill="0" applyBorder="0" applyAlignment="0" applyProtection="0"/>
    <xf numFmtId="0" fontId="20" fillId="0" borderId="0"/>
    <xf numFmtId="0" fontId="20" fillId="0" borderId="0"/>
    <xf numFmtId="0" fontId="21" fillId="0" borderId="0" applyNumberFormat="0" applyFill="0" applyBorder="0" applyAlignment="0" applyProtection="0"/>
    <xf numFmtId="0" fontId="20" fillId="2" borderId="0" applyNumberFormat="0" applyBorder="0" applyAlignment="0" applyProtection="0"/>
    <xf numFmtId="0" fontId="21" fillId="0" borderId="0" applyNumberFormat="0" applyFill="0" applyBorder="0" applyAlignment="0" applyProtection="0"/>
    <xf numFmtId="168" fontId="25" fillId="0" borderId="0" applyBorder="0" applyProtection="0"/>
    <xf numFmtId="43" fontId="1" fillId="0" borderId="0" applyFont="0" applyFill="0" applyBorder="0" applyAlignment="0" applyProtection="0"/>
    <xf numFmtId="0" fontId="1" fillId="0" borderId="0"/>
    <xf numFmtId="0" fontId="40" fillId="0" borderId="0"/>
    <xf numFmtId="171" fontId="40" fillId="0" borderId="0" applyFill="0" applyBorder="0" applyAlignment="0" applyProtection="0"/>
    <xf numFmtId="0" fontId="41" fillId="0" borderId="0"/>
    <xf numFmtId="0" fontId="20" fillId="0" borderId="0"/>
    <xf numFmtId="0" fontId="42" fillId="0" borderId="0">
      <alignment vertical="top"/>
    </xf>
    <xf numFmtId="0" fontId="40" fillId="0" borderId="0"/>
    <xf numFmtId="0" fontId="40" fillId="0" borderId="0"/>
  </cellStyleXfs>
  <cellXfs count="259">
    <xf numFmtId="0" fontId="0" fillId="0" borderId="0" xfId="0"/>
    <xf numFmtId="0" fontId="2" fillId="0" borderId="0" xfId="0" applyFont="1" applyAlignment="1">
      <alignment horizontal="center"/>
    </xf>
    <xf numFmtId="0" fontId="2" fillId="0" borderId="0" xfId="0" applyFont="1"/>
    <xf numFmtId="0" fontId="3" fillId="0" borderId="0" xfId="0" applyFont="1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1" fontId="2" fillId="0" borderId="0" xfId="0" applyNumberFormat="1" applyFont="1"/>
    <xf numFmtId="0" fontId="2" fillId="0" borderId="0" xfId="0" applyFont="1" applyAlignment="1">
      <alignment horizontal="left" vertical="center"/>
    </xf>
    <xf numFmtId="0" fontId="5" fillId="0" borderId="0" xfId="0" applyFont="1"/>
    <xf numFmtId="0" fontId="5" fillId="0" borderId="0" xfId="0" applyFont="1" applyAlignment="1">
      <alignment horizontal="center"/>
    </xf>
    <xf numFmtId="165" fontId="6" fillId="0" borderId="0" xfId="1" applyNumberFormat="1" applyFont="1" applyFill="1" applyAlignment="1">
      <alignment vertical="top"/>
    </xf>
    <xf numFmtId="165" fontId="7" fillId="0" borderId="0" xfId="1" applyNumberFormat="1" applyFont="1" applyFill="1" applyAlignment="1">
      <alignment vertical="top"/>
    </xf>
    <xf numFmtId="0" fontId="2" fillId="0" borderId="0" xfId="0" applyFont="1" applyAlignment="1">
      <alignment vertical="center"/>
    </xf>
    <xf numFmtId="0" fontId="9" fillId="0" borderId="0" xfId="0" applyFont="1"/>
    <xf numFmtId="0" fontId="2" fillId="0" borderId="0" xfId="0" applyFont="1" applyAlignment="1">
      <alignment vertical="top" wrapText="1"/>
    </xf>
    <xf numFmtId="165" fontId="2" fillId="0" borderId="0" xfId="2" applyNumberFormat="1" applyFont="1" applyFill="1" applyAlignment="1">
      <alignment horizontal="center"/>
    </xf>
    <xf numFmtId="0" fontId="2" fillId="0" borderId="0" xfId="0" applyFont="1" applyAlignment="1">
      <alignment horizontal="left" wrapText="1"/>
    </xf>
    <xf numFmtId="0" fontId="2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left" vertical="center"/>
    </xf>
    <xf numFmtId="0" fontId="2" fillId="0" borderId="1" xfId="0" applyFont="1" applyBorder="1"/>
    <xf numFmtId="0" fontId="2" fillId="0" borderId="2" xfId="0" applyFont="1" applyBorder="1"/>
    <xf numFmtId="0" fontId="2" fillId="0" borderId="0" xfId="0" applyFont="1" applyAlignment="1">
      <alignment horizontal="center" vertical="top" wrapText="1"/>
    </xf>
    <xf numFmtId="0" fontId="2" fillId="0" borderId="0" xfId="0" applyFont="1" applyAlignment="1">
      <alignment horizontal="left" vertical="top" wrapText="1"/>
    </xf>
    <xf numFmtId="0" fontId="14" fillId="0" borderId="0" xfId="0" applyFont="1"/>
    <xf numFmtId="0" fontId="16" fillId="0" borderId="0" xfId="0" applyFont="1" applyAlignment="1">
      <alignment horizontal="center"/>
    </xf>
    <xf numFmtId="0" fontId="16" fillId="0" borderId="0" xfId="0" applyFont="1"/>
    <xf numFmtId="165" fontId="16" fillId="0" borderId="0" xfId="1" applyNumberFormat="1" applyFont="1" applyFill="1" applyAlignment="1"/>
    <xf numFmtId="165" fontId="16" fillId="0" borderId="0" xfId="1" applyNumberFormat="1" applyFont="1" applyFill="1" applyAlignment="1">
      <alignment horizontal="right"/>
    </xf>
    <xf numFmtId="0" fontId="16" fillId="0" borderId="0" xfId="0" applyFont="1" applyAlignment="1">
      <alignment vertical="center"/>
    </xf>
    <xf numFmtId="1" fontId="16" fillId="0" borderId="0" xfId="0" applyNumberFormat="1" applyFont="1" applyAlignment="1">
      <alignment vertical="center"/>
    </xf>
    <xf numFmtId="0" fontId="16" fillId="0" borderId="0" xfId="0" applyFont="1" applyAlignment="1">
      <alignment horizontal="right" vertical="top"/>
    </xf>
    <xf numFmtId="0" fontId="16" fillId="0" borderId="0" xfId="0" applyFont="1" applyAlignment="1">
      <alignment wrapText="1"/>
    </xf>
    <xf numFmtId="0" fontId="16" fillId="0" borderId="0" xfId="0" applyFont="1" applyAlignment="1">
      <alignment horizontal="center" vertical="center"/>
    </xf>
    <xf numFmtId="167" fontId="11" fillId="0" borderId="1" xfId="0" applyNumberFormat="1" applyFont="1" applyBorder="1" applyAlignment="1"/>
    <xf numFmtId="0" fontId="16" fillId="0" borderId="1" xfId="0" applyFont="1" applyBorder="1" applyAlignment="1">
      <alignment wrapText="1"/>
    </xf>
    <xf numFmtId="1" fontId="16" fillId="0" borderId="0" xfId="0" applyNumberFormat="1" applyFont="1"/>
    <xf numFmtId="0" fontId="16" fillId="0" borderId="2" xfId="0" applyFont="1" applyBorder="1"/>
    <xf numFmtId="0" fontId="16" fillId="0" borderId="1" xfId="0" applyFont="1" applyBorder="1"/>
    <xf numFmtId="0" fontId="16" fillId="0" borderId="1" xfId="0" applyFont="1" applyBorder="1" applyAlignment="1">
      <alignment horizontal="center"/>
    </xf>
    <xf numFmtId="0" fontId="16" fillId="0" borderId="0" xfId="0" applyFont="1" applyAlignment="1">
      <alignment vertical="top"/>
    </xf>
    <xf numFmtId="165" fontId="16" fillId="0" borderId="0" xfId="1" applyNumberFormat="1" applyFont="1" applyFill="1" applyAlignment="1">
      <alignment horizontal="left" vertical="top"/>
    </xf>
    <xf numFmtId="165" fontId="16" fillId="0" borderId="1" xfId="1" applyNumberFormat="1" applyFont="1" applyFill="1" applyBorder="1" applyAlignment="1">
      <alignment horizontal="right"/>
    </xf>
    <xf numFmtId="165" fontId="16" fillId="0" borderId="0" xfId="1" applyNumberFormat="1" applyFont="1" applyFill="1" applyAlignment="1">
      <alignment horizontal="center"/>
    </xf>
    <xf numFmtId="0" fontId="17" fillId="0" borderId="6" xfId="0" applyFont="1" applyBorder="1" applyAlignment="1">
      <alignment vertical="center"/>
    </xf>
    <xf numFmtId="0" fontId="17" fillId="0" borderId="0" xfId="0" applyFont="1" applyAlignment="1">
      <alignment vertical="center" wrapText="1"/>
    </xf>
    <xf numFmtId="0" fontId="17" fillId="0" borderId="0" xfId="0" applyFont="1" applyAlignment="1">
      <alignment vertical="center"/>
    </xf>
    <xf numFmtId="0" fontId="16" fillId="0" borderId="0" xfId="0" applyFont="1" applyAlignment="1">
      <alignment vertical="center" wrapText="1"/>
    </xf>
    <xf numFmtId="165" fontId="16" fillId="0" borderId="0" xfId="1" applyNumberFormat="1" applyFont="1" applyFill="1" applyAlignment="1">
      <alignment horizontal="right" vertical="center"/>
    </xf>
    <xf numFmtId="0" fontId="16" fillId="0" borderId="0" xfId="0" applyFont="1" applyAlignment="1">
      <alignment horizontal="left" vertical="center"/>
    </xf>
    <xf numFmtId="49" fontId="16" fillId="0" borderId="0" xfId="1" applyNumberFormat="1" applyFont="1" applyFill="1" applyAlignment="1">
      <alignment horizontal="left"/>
    </xf>
    <xf numFmtId="0" fontId="30" fillId="0" borderId="8" xfId="6" applyFont="1" applyBorder="1" applyAlignment="1">
      <alignment horizontal="center" vertical="center" wrapText="1"/>
    </xf>
    <xf numFmtId="0" fontId="20" fillId="0" borderId="0" xfId="6"/>
    <xf numFmtId="0" fontId="27" fillId="0" borderId="0" xfId="6" applyFont="1" applyAlignment="1">
      <alignment horizontal="center" vertical="center"/>
    </xf>
    <xf numFmtId="0" fontId="20" fillId="0" borderId="0" xfId="6" applyAlignment="1">
      <alignment vertical="center"/>
    </xf>
    <xf numFmtId="0" fontId="20" fillId="0" borderId="0" xfId="6" applyAlignment="1">
      <alignment horizontal="center" vertical="center"/>
    </xf>
    <xf numFmtId="0" fontId="27" fillId="0" borderId="0" xfId="6" applyFont="1" applyAlignment="1">
      <alignment vertical="center"/>
    </xf>
    <xf numFmtId="0" fontId="30" fillId="0" borderId="7" xfId="6" applyFont="1" applyBorder="1" applyAlignment="1">
      <alignment horizontal="center" vertical="center" wrapText="1"/>
    </xf>
    <xf numFmtId="165" fontId="4" fillId="0" borderId="0" xfId="2" applyNumberFormat="1" applyFont="1" applyFill="1" applyAlignment="1"/>
    <xf numFmtId="165" fontId="4" fillId="0" borderId="0" xfId="2" applyNumberFormat="1" applyFont="1" applyFill="1" applyAlignment="1">
      <alignment horizontal="right"/>
    </xf>
    <xf numFmtId="165" fontId="2" fillId="0" borderId="0" xfId="2" applyNumberFormat="1" applyFont="1" applyFill="1" applyAlignment="1"/>
    <xf numFmtId="165" fontId="2" fillId="0" borderId="0" xfId="2" applyNumberFormat="1" applyFont="1" applyFill="1" applyAlignment="1">
      <alignment horizontal="right"/>
    </xf>
    <xf numFmtId="1" fontId="2" fillId="0" borderId="0" xfId="2" applyNumberFormat="1" applyFont="1" applyFill="1" applyAlignment="1"/>
    <xf numFmtId="165" fontId="2" fillId="0" borderId="0" xfId="2" applyNumberFormat="1" applyFont="1" applyFill="1" applyAlignment="1">
      <alignment horizontal="right" wrapText="1"/>
    </xf>
    <xf numFmtId="166" fontId="12" fillId="0" borderId="1" xfId="2" applyNumberFormat="1" applyFont="1" applyFill="1" applyBorder="1" applyAlignment="1">
      <alignment horizontal="left"/>
    </xf>
    <xf numFmtId="166" fontId="12" fillId="0" borderId="2" xfId="2" applyNumberFormat="1" applyFont="1" applyFill="1" applyBorder="1" applyAlignment="1"/>
    <xf numFmtId="0" fontId="22" fillId="0" borderId="11" xfId="6" applyFont="1" applyBorder="1" applyAlignment="1">
      <alignment horizontal="center" vertical="center"/>
    </xf>
    <xf numFmtId="0" fontId="38" fillId="3" borderId="11" xfId="6" applyFont="1" applyFill="1" applyBorder="1" applyAlignment="1">
      <alignment horizontal="center" vertical="center"/>
    </xf>
    <xf numFmtId="0" fontId="39" fillId="4" borderId="11" xfId="6" applyFont="1" applyFill="1" applyBorder="1" applyAlignment="1">
      <alignment horizontal="center" vertical="center"/>
    </xf>
    <xf numFmtId="0" fontId="39" fillId="5" borderId="11" xfId="6" applyFont="1" applyFill="1" applyBorder="1" applyAlignment="1">
      <alignment horizontal="center" vertical="center"/>
    </xf>
    <xf numFmtId="0" fontId="39" fillId="6" borderId="11" xfId="6" applyFont="1" applyFill="1" applyBorder="1" applyAlignment="1">
      <alignment horizontal="center" vertical="center"/>
    </xf>
    <xf numFmtId="0" fontId="22" fillId="7" borderId="11" xfId="6" applyFont="1" applyFill="1" applyBorder="1" applyAlignment="1">
      <alignment horizontal="center" vertical="center"/>
    </xf>
    <xf numFmtId="0" fontId="37" fillId="3" borderId="11" xfId="6" applyFont="1" applyFill="1" applyBorder="1" applyAlignment="1">
      <alignment horizontal="center" vertical="center"/>
    </xf>
    <xf numFmtId="0" fontId="37" fillId="3" borderId="11" xfId="6" applyFont="1" applyFill="1" applyBorder="1" applyAlignment="1">
      <alignment horizontal="center" vertical="center" wrapText="1"/>
    </xf>
    <xf numFmtId="0" fontId="37" fillId="4" borderId="11" xfId="6" applyFont="1" applyFill="1" applyBorder="1" applyAlignment="1">
      <alignment horizontal="center" vertical="center"/>
    </xf>
    <xf numFmtId="0" fontId="37" fillId="4" borderId="11" xfId="6" applyFont="1" applyFill="1" applyBorder="1" applyAlignment="1">
      <alignment horizontal="center" vertical="center" wrapText="1"/>
    </xf>
    <xf numFmtId="0" fontId="37" fillId="5" borderId="11" xfId="6" applyFont="1" applyFill="1" applyBorder="1" applyAlignment="1">
      <alignment horizontal="center" vertical="center"/>
    </xf>
    <xf numFmtId="0" fontId="37" fillId="6" borderId="11" xfId="6" applyFont="1" applyFill="1" applyBorder="1" applyAlignment="1">
      <alignment horizontal="center" vertical="center" wrapText="1"/>
    </xf>
    <xf numFmtId="0" fontId="37" fillId="6" borderId="11" xfId="6" applyFont="1" applyFill="1" applyBorder="1" applyAlignment="1">
      <alignment horizontal="center" vertical="center"/>
    </xf>
    <xf numFmtId="0" fontId="30" fillId="0" borderId="12" xfId="6" applyFont="1" applyBorder="1" applyAlignment="1">
      <alignment horizontal="center" vertical="center" wrapText="1"/>
    </xf>
    <xf numFmtId="0" fontId="36" fillId="8" borderId="11" xfId="6" applyFont="1" applyFill="1" applyBorder="1" applyAlignment="1">
      <alignment horizontal="center" vertical="center"/>
    </xf>
    <xf numFmtId="0" fontId="30" fillId="0" borderId="7" xfId="6" applyFont="1" applyBorder="1" applyAlignment="1">
      <alignment horizontal="center" vertical="center" wrapText="1"/>
    </xf>
    <xf numFmtId="0" fontId="20" fillId="0" borderId="9" xfId="6" applyFont="1" applyBorder="1" applyAlignment="1">
      <alignment horizontal="center" vertical="center" wrapText="1"/>
    </xf>
    <xf numFmtId="170" fontId="24" fillId="2" borderId="11" xfId="11" applyNumberFormat="1" applyFont="1" applyFill="1" applyBorder="1" applyAlignment="1" applyProtection="1">
      <alignment horizontal="center" vertical="center"/>
    </xf>
    <xf numFmtId="0" fontId="30" fillId="0" borderId="13" xfId="6" applyFont="1" applyBorder="1" applyAlignment="1">
      <alignment horizontal="left" vertical="center" wrapText="1"/>
    </xf>
    <xf numFmtId="3" fontId="30" fillId="9" borderId="13" xfId="6" applyNumberFormat="1" applyFont="1" applyFill="1" applyBorder="1" applyAlignment="1">
      <alignment horizontal="left" vertical="center" wrapText="1"/>
    </xf>
    <xf numFmtId="0" fontId="2" fillId="0" borderId="4" xfId="0" applyFont="1" applyFill="1" applyBorder="1" applyAlignment="1">
      <alignment vertical="center" wrapText="1"/>
    </xf>
    <xf numFmtId="0" fontId="20" fillId="0" borderId="0" xfId="6"/>
    <xf numFmtId="0" fontId="20" fillId="0" borderId="0" xfId="6" applyFont="1" applyAlignment="1">
      <alignment horizontal="center"/>
    </xf>
    <xf numFmtId="0" fontId="29" fillId="0" borderId="0" xfId="6" applyFont="1" applyAlignment="1">
      <alignment horizontal="center"/>
    </xf>
    <xf numFmtId="0" fontId="20" fillId="0" borderId="0" xfId="6" applyFont="1" applyBorder="1" applyAlignment="1">
      <alignment vertical="center" wrapText="1"/>
    </xf>
    <xf numFmtId="0" fontId="20" fillId="0" borderId="0" xfId="6"/>
    <xf numFmtId="169" fontId="20" fillId="0" borderId="0" xfId="5" applyNumberFormat="1" applyFont="1" applyFill="1" applyBorder="1" applyAlignment="1" applyProtection="1">
      <alignment horizontal="center"/>
    </xf>
    <xf numFmtId="0" fontId="20" fillId="0" borderId="0" xfId="6" applyAlignment="1">
      <alignment horizontal="center"/>
    </xf>
    <xf numFmtId="169" fontId="32" fillId="0" borderId="0" xfId="5" applyNumberFormat="1" applyFont="1" applyFill="1" applyBorder="1" applyAlignment="1" applyProtection="1">
      <alignment horizontal="center"/>
    </xf>
    <xf numFmtId="0" fontId="33" fillId="0" borderId="0" xfId="6" applyFont="1" applyBorder="1" applyAlignment="1">
      <alignment vertical="center" wrapText="1"/>
    </xf>
    <xf numFmtId="0" fontId="0" fillId="0" borderId="0" xfId="0" applyAlignment="1">
      <alignment horizontal="center"/>
    </xf>
    <xf numFmtId="0" fontId="38" fillId="3" borderId="17" xfId="6" applyFont="1" applyFill="1" applyBorder="1" applyAlignment="1">
      <alignment horizontal="center" vertical="center"/>
    </xf>
    <xf numFmtId="0" fontId="39" fillId="4" borderId="17" xfId="6" applyFont="1" applyFill="1" applyBorder="1" applyAlignment="1">
      <alignment horizontal="center" vertical="center"/>
    </xf>
    <xf numFmtId="0" fontId="39" fillId="5" borderId="17" xfId="6" applyFont="1" applyFill="1" applyBorder="1" applyAlignment="1">
      <alignment horizontal="center" vertical="center"/>
    </xf>
    <xf numFmtId="0" fontId="39" fillId="6" borderId="17" xfId="6" applyFont="1" applyFill="1" applyBorder="1" applyAlignment="1">
      <alignment horizontal="center" vertical="center"/>
    </xf>
    <xf numFmtId="0" fontId="22" fillId="7" borderId="17" xfId="6" applyFont="1" applyFill="1" applyBorder="1" applyAlignment="1">
      <alignment horizontal="center" vertical="center"/>
    </xf>
    <xf numFmtId="165" fontId="1" fillId="0" borderId="0" xfId="1" applyNumberFormat="1" applyFill="1" applyBorder="1" applyAlignment="1">
      <alignment horizontal="right" vertical="center" wrapText="1"/>
    </xf>
    <xf numFmtId="0" fontId="25" fillId="0" borderId="11" xfId="16" applyFont="1" applyBorder="1" applyAlignment="1">
      <alignment horizontal="center" vertical="center"/>
    </xf>
    <xf numFmtId="0" fontId="20" fillId="0" borderId="11" xfId="16" applyFont="1" applyBorder="1" applyAlignment="1">
      <alignment horizontal="center" vertical="center" wrapText="1"/>
    </xf>
    <xf numFmtId="0" fontId="40" fillId="0" borderId="11" xfId="19" applyFont="1" applyBorder="1" applyAlignment="1">
      <alignment horizontal="center"/>
    </xf>
    <xf numFmtId="169" fontId="20" fillId="0" borderId="9" xfId="5" applyNumberFormat="1" applyFont="1" applyFill="1" applyBorder="1" applyAlignment="1" applyProtection="1">
      <alignment horizontal="center" vertical="center" wrapText="1"/>
    </xf>
    <xf numFmtId="0" fontId="20" fillId="0" borderId="10" xfId="6" applyFont="1" applyBorder="1" applyAlignment="1">
      <alignment horizontal="center" vertical="center" wrapText="1"/>
    </xf>
    <xf numFmtId="0" fontId="20" fillId="0" borderId="11" xfId="16" applyFont="1" applyFill="1" applyBorder="1" applyAlignment="1">
      <alignment horizontal="center" vertical="center" wrapText="1"/>
    </xf>
    <xf numFmtId="0" fontId="20" fillId="0" borderId="11" xfId="16" applyFont="1" applyBorder="1" applyAlignment="1">
      <alignment horizontal="center"/>
    </xf>
    <xf numFmtId="0" fontId="24" fillId="2" borderId="11" xfId="16" applyFont="1" applyFill="1" applyBorder="1" applyAlignment="1">
      <alignment horizontal="center" vertical="center"/>
    </xf>
    <xf numFmtId="0" fontId="26" fillId="0" borderId="11" xfId="16" applyFont="1" applyBorder="1" applyAlignment="1">
      <alignment horizontal="center" vertical="center"/>
    </xf>
    <xf numFmtId="0" fontId="40" fillId="0" borderId="11" xfId="14" applyFont="1" applyBorder="1" applyAlignment="1">
      <alignment horizontal="center" vertical="center"/>
    </xf>
    <xf numFmtId="169" fontId="20" fillId="0" borderId="11" xfId="5" applyNumberFormat="1" applyFont="1" applyFill="1" applyBorder="1" applyAlignment="1" applyProtection="1">
      <alignment horizontal="center" vertical="center" wrapText="1"/>
    </xf>
    <xf numFmtId="0" fontId="40" fillId="0" borderId="11" xfId="14" applyBorder="1" applyAlignment="1">
      <alignment horizontal="center"/>
    </xf>
    <xf numFmtId="169" fontId="20" fillId="0" borderId="11" xfId="5" applyNumberFormat="1" applyFont="1" applyFill="1" applyBorder="1" applyAlignment="1" applyProtection="1">
      <alignment horizontal="center"/>
    </xf>
    <xf numFmtId="3" fontId="30" fillId="9" borderId="16" xfId="6" applyNumberFormat="1" applyFont="1" applyFill="1" applyBorder="1" applyAlignment="1">
      <alignment horizontal="left" vertical="center" wrapText="1"/>
    </xf>
    <xf numFmtId="3" fontId="40" fillId="0" borderId="11" xfId="14" applyNumberFormat="1" applyBorder="1" applyAlignment="1">
      <alignment horizontal="center"/>
    </xf>
    <xf numFmtId="0" fontId="43" fillId="0" borderId="11" xfId="6" applyFont="1" applyBorder="1" applyAlignment="1">
      <alignment horizontal="center" vertical="center"/>
    </xf>
    <xf numFmtId="0" fontId="43" fillId="0" borderId="17" xfId="6" applyFont="1" applyBorder="1" applyAlignment="1">
      <alignment horizontal="center" vertical="center"/>
    </xf>
    <xf numFmtId="0" fontId="44" fillId="0" borderId="17" xfId="0" applyFont="1" applyBorder="1" applyAlignment="1">
      <alignment horizontal="center"/>
    </xf>
    <xf numFmtId="0" fontId="44" fillId="0" borderId="11" xfId="0" applyFont="1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1" xfId="0" applyBorder="1"/>
    <xf numFmtId="0" fontId="0" fillId="0" borderId="0" xfId="0"/>
    <xf numFmtId="0" fontId="2" fillId="0" borderId="0" xfId="0" applyFont="1"/>
    <xf numFmtId="165" fontId="1" fillId="0" borderId="3" xfId="1" applyNumberFormat="1" applyFill="1" applyBorder="1" applyAlignment="1">
      <alignment horizontal="right" vertical="center" wrapText="1"/>
    </xf>
    <xf numFmtId="0" fontId="38" fillId="3" borderId="11" xfId="6" applyFont="1" applyFill="1" applyBorder="1" applyAlignment="1">
      <alignment horizontal="center" vertical="center"/>
    </xf>
    <xf numFmtId="0" fontId="39" fillId="6" borderId="11" xfId="6" applyFont="1" applyFill="1" applyBorder="1" applyAlignment="1">
      <alignment horizontal="center" vertical="center"/>
    </xf>
    <xf numFmtId="0" fontId="22" fillId="7" borderId="11" xfId="6" applyFont="1" applyFill="1" applyBorder="1" applyAlignment="1">
      <alignment horizontal="center" vertical="center"/>
    </xf>
    <xf numFmtId="9" fontId="2" fillId="0" borderId="0" xfId="0" applyNumberFormat="1" applyFont="1" applyAlignment="1">
      <alignment horizontal="center"/>
    </xf>
    <xf numFmtId="0" fontId="2" fillId="0" borderId="4" xfId="0" applyFont="1" applyFill="1" applyBorder="1" applyAlignment="1">
      <alignment vertical="center" wrapText="1"/>
    </xf>
    <xf numFmtId="0" fontId="2" fillId="0" borderId="5" xfId="0" applyFont="1" applyFill="1" applyBorder="1" applyAlignment="1">
      <alignment vertical="center" wrapText="1"/>
    </xf>
    <xf numFmtId="3" fontId="30" fillId="9" borderId="11" xfId="6" applyNumberFormat="1" applyFont="1" applyFill="1" applyBorder="1" applyAlignment="1">
      <alignment horizontal="left" vertical="center" wrapText="1"/>
    </xf>
    <xf numFmtId="0" fontId="38" fillId="4" borderId="11" xfId="6" applyFont="1" applyFill="1" applyBorder="1" applyAlignment="1">
      <alignment horizontal="center" vertical="center"/>
    </xf>
    <xf numFmtId="0" fontId="38" fillId="5" borderId="11" xfId="6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40" fillId="0" borderId="11" xfId="19" applyFont="1" applyFill="1" applyBorder="1" applyAlignment="1">
      <alignment horizontal="center"/>
    </xf>
    <xf numFmtId="0" fontId="30" fillId="0" borderId="20" xfId="6" applyFont="1" applyBorder="1" applyAlignment="1">
      <alignment horizontal="center" vertical="center" wrapText="1"/>
    </xf>
    <xf numFmtId="0" fontId="30" fillId="0" borderId="16" xfId="6" applyFont="1" applyBorder="1" applyAlignment="1">
      <alignment horizontal="left" vertical="center" wrapText="1"/>
    </xf>
    <xf numFmtId="3" fontId="30" fillId="9" borderId="17" xfId="6" applyNumberFormat="1" applyFont="1" applyFill="1" applyBorder="1" applyAlignment="1">
      <alignment horizontal="left" vertical="center" wrapText="1"/>
    </xf>
    <xf numFmtId="0" fontId="44" fillId="0" borderId="17" xfId="0" applyFont="1" applyBorder="1"/>
    <xf numFmtId="0" fontId="38" fillId="4" borderId="17" xfId="6" applyFont="1" applyFill="1" applyBorder="1" applyAlignment="1">
      <alignment horizontal="center" vertical="center"/>
    </xf>
    <xf numFmtId="0" fontId="38" fillId="5" borderId="17" xfId="6" applyFont="1" applyFill="1" applyBorder="1" applyAlignment="1">
      <alignment horizontal="center" vertical="center"/>
    </xf>
    <xf numFmtId="0" fontId="30" fillId="0" borderId="11" xfId="6" applyFont="1" applyBorder="1" applyAlignment="1">
      <alignment horizontal="left" vertical="center" wrapText="1"/>
    </xf>
    <xf numFmtId="0" fontId="45" fillId="0" borderId="11" xfId="0" applyFont="1" applyBorder="1" applyAlignment="1">
      <alignment horizontal="center" vertical="center"/>
    </xf>
    <xf numFmtId="0" fontId="38" fillId="6" borderId="11" xfId="6" applyFont="1" applyFill="1" applyBorder="1" applyAlignment="1">
      <alignment horizontal="center" vertical="center"/>
    </xf>
    <xf numFmtId="0" fontId="43" fillId="7" borderId="11" xfId="6" applyFont="1" applyFill="1" applyBorder="1" applyAlignment="1">
      <alignment horizontal="center" vertical="center"/>
    </xf>
    <xf numFmtId="0" fontId="46" fillId="0" borderId="11" xfId="0" applyFont="1" applyBorder="1" applyAlignment="1">
      <alignment horizontal="center" vertical="center"/>
    </xf>
    <xf numFmtId="3" fontId="0" fillId="0" borderId="11" xfId="0" applyNumberFormat="1" applyBorder="1" applyAlignment="1">
      <alignment horizontal="center"/>
    </xf>
    <xf numFmtId="3" fontId="0" fillId="0" borderId="19" xfId="0" applyNumberFormat="1" applyBorder="1" applyAlignment="1">
      <alignment horizontal="center"/>
    </xf>
    <xf numFmtId="164" fontId="13" fillId="0" borderId="21" xfId="2" applyFont="1" applyFill="1" applyBorder="1" applyAlignment="1">
      <alignment horizontal="center" wrapText="1"/>
    </xf>
    <xf numFmtId="0" fontId="2" fillId="0" borderId="11" xfId="0" applyFont="1" applyFill="1" applyBorder="1" applyAlignment="1">
      <alignment vertical="center" wrapText="1"/>
    </xf>
    <xf numFmtId="165" fontId="2" fillId="0" borderId="0" xfId="2" applyNumberFormat="1" applyFont="1" applyFill="1" applyBorder="1" applyAlignment="1"/>
    <xf numFmtId="0" fontId="0" fillId="0" borderId="11" xfId="0" applyFill="1" applyBorder="1" applyAlignment="1">
      <alignment horizontal="center"/>
    </xf>
    <xf numFmtId="0" fontId="47" fillId="0" borderId="11" xfId="0" applyFont="1" applyBorder="1"/>
    <xf numFmtId="0" fontId="48" fillId="3" borderId="11" xfId="6" applyFont="1" applyFill="1" applyBorder="1" applyAlignment="1">
      <alignment horizontal="center" vertical="center"/>
    </xf>
    <xf numFmtId="3" fontId="20" fillId="0" borderId="0" xfId="6" applyNumberFormat="1" applyAlignment="1">
      <alignment horizontal="center" vertical="center"/>
    </xf>
    <xf numFmtId="3" fontId="20" fillId="0" borderId="0" xfId="6" applyNumberFormat="1"/>
    <xf numFmtId="3" fontId="36" fillId="8" borderId="11" xfId="6" applyNumberFormat="1" applyFont="1" applyFill="1" applyBorder="1" applyAlignment="1">
      <alignment horizontal="center" vertical="center"/>
    </xf>
    <xf numFmtId="3" fontId="0" fillId="0" borderId="0" xfId="0" applyNumberFormat="1"/>
    <xf numFmtId="0" fontId="30" fillId="0" borderId="13" xfId="6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165" fontId="0" fillId="0" borderId="0" xfId="0" applyNumberFormat="1"/>
    <xf numFmtId="0" fontId="18" fillId="0" borderId="3" xfId="0" applyFont="1" applyFill="1" applyBorder="1" applyAlignment="1">
      <alignment horizontal="center" vertical="center" wrapText="1"/>
    </xf>
    <xf numFmtId="0" fontId="2" fillId="0" borderId="21" xfId="0" applyFont="1" applyFill="1" applyBorder="1" applyAlignment="1">
      <alignment vertical="center" wrapText="1"/>
    </xf>
    <xf numFmtId="0" fontId="18" fillId="0" borderId="3" xfId="0" applyFont="1" applyFill="1" applyBorder="1" applyAlignment="1">
      <alignment horizontal="center" vertical="center" wrapText="1"/>
    </xf>
    <xf numFmtId="0" fontId="20" fillId="0" borderId="6" xfId="6" applyFont="1" applyBorder="1" applyAlignment="1">
      <alignment horizontal="center" vertical="center"/>
    </xf>
    <xf numFmtId="169" fontId="20" fillId="0" borderId="0" xfId="5" applyNumberFormat="1" applyFont="1" applyFill="1" applyBorder="1" applyAlignment="1" applyProtection="1">
      <alignment vertical="top"/>
    </xf>
    <xf numFmtId="0" fontId="29" fillId="0" borderId="0" xfId="6" applyFont="1" applyBorder="1" applyAlignment="1">
      <alignment wrapText="1"/>
    </xf>
    <xf numFmtId="165" fontId="2" fillId="0" borderId="18" xfId="2" applyNumberFormat="1" applyFont="1" applyFill="1" applyBorder="1" applyAlignment="1">
      <alignment vertical="center" wrapText="1"/>
    </xf>
    <xf numFmtId="1" fontId="2" fillId="0" borderId="23" xfId="0" applyNumberFormat="1" applyFont="1" applyBorder="1" applyAlignment="1">
      <alignment vertical="center"/>
    </xf>
    <xf numFmtId="165" fontId="2" fillId="0" borderId="0" xfId="2" applyNumberFormat="1" applyFont="1" applyFill="1" applyBorder="1" applyAlignment="1">
      <alignment horizontal="center" vertical="center" wrapText="1"/>
    </xf>
    <xf numFmtId="0" fontId="20" fillId="0" borderId="0" xfId="6" applyBorder="1" applyAlignment="1">
      <alignment horizontal="center"/>
    </xf>
    <xf numFmtId="0" fontId="20" fillId="0" borderId="0" xfId="6" applyBorder="1"/>
    <xf numFmtId="165" fontId="2" fillId="0" borderId="0" xfId="2" applyNumberFormat="1" applyFont="1" applyFill="1" applyBorder="1" applyAlignment="1">
      <alignment horizontal="right"/>
    </xf>
    <xf numFmtId="0" fontId="36" fillId="10" borderId="11" xfId="6" applyFont="1" applyFill="1" applyBorder="1" applyAlignment="1">
      <alignment horizontal="center" vertical="center"/>
    </xf>
    <xf numFmtId="0" fontId="2" fillId="0" borderId="0" xfId="0" applyFont="1" applyBorder="1" applyAlignment="1"/>
    <xf numFmtId="165" fontId="4" fillId="0" borderId="11" xfId="2" applyNumberFormat="1" applyFont="1" applyFill="1" applyBorder="1" applyAlignment="1">
      <alignment horizontal="right"/>
    </xf>
    <xf numFmtId="0" fontId="2" fillId="0" borderId="25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165" fontId="2" fillId="0" borderId="0" xfId="0" applyNumberFormat="1" applyFont="1" applyBorder="1" applyAlignment="1">
      <alignment horizontal="center"/>
    </xf>
    <xf numFmtId="0" fontId="36" fillId="10" borderId="24" xfId="6" applyFont="1" applyFill="1" applyBorder="1" applyAlignment="1">
      <alignment horizontal="center" vertical="center"/>
    </xf>
    <xf numFmtId="0" fontId="18" fillId="11" borderId="11" xfId="0" applyFont="1" applyFill="1" applyBorder="1" applyAlignment="1">
      <alignment horizontal="center" vertical="center" wrapText="1"/>
    </xf>
    <xf numFmtId="0" fontId="49" fillId="0" borderId="18" xfId="0" applyFont="1" applyFill="1" applyBorder="1" applyAlignment="1">
      <alignment vertical="center" wrapText="1"/>
    </xf>
    <xf numFmtId="0" fontId="49" fillId="0" borderId="3" xfId="0" applyFont="1" applyFill="1" applyBorder="1" applyAlignment="1">
      <alignment horizontal="center" vertical="center" wrapText="1"/>
    </xf>
    <xf numFmtId="165" fontId="49" fillId="0" borderId="18" xfId="2" applyNumberFormat="1" applyFont="1" applyFill="1" applyBorder="1" applyAlignment="1">
      <alignment vertical="center" wrapText="1"/>
    </xf>
    <xf numFmtId="0" fontId="49" fillId="0" borderId="4" xfId="0" applyFont="1" applyFill="1" applyBorder="1" applyAlignment="1">
      <alignment horizontal="center" vertical="center" wrapText="1"/>
    </xf>
    <xf numFmtId="3" fontId="49" fillId="0" borderId="3" xfId="2" applyNumberFormat="1" applyFont="1" applyFill="1" applyBorder="1" applyAlignment="1">
      <alignment horizontal="center" vertical="center" wrapText="1"/>
    </xf>
    <xf numFmtId="0" fontId="49" fillId="0" borderId="18" xfId="0" applyFont="1" applyFill="1" applyBorder="1" applyAlignment="1">
      <alignment horizontal="center" vertical="center" wrapText="1"/>
    </xf>
    <xf numFmtId="0" fontId="49" fillId="0" borderId="5" xfId="0" applyFont="1" applyFill="1" applyBorder="1" applyAlignment="1">
      <alignment horizontal="center" vertical="center" wrapText="1"/>
    </xf>
    <xf numFmtId="0" fontId="49" fillId="0" borderId="11" xfId="0" applyFont="1" applyFill="1" applyBorder="1" applyAlignment="1">
      <alignment horizontal="center" vertical="center" wrapText="1"/>
    </xf>
    <xf numFmtId="3" fontId="49" fillId="0" borderId="15" xfId="2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20" fillId="0" borderId="0" xfId="6" applyFont="1" applyBorder="1" applyAlignment="1">
      <alignment horizontal="center" vertical="top" wrapText="1"/>
    </xf>
    <xf numFmtId="0" fontId="29" fillId="0" borderId="0" xfId="6" applyFont="1" applyBorder="1" applyAlignment="1">
      <alignment horizontal="center"/>
    </xf>
    <xf numFmtId="0" fontId="18" fillId="0" borderId="27" xfId="0" applyFont="1" applyFill="1" applyBorder="1" applyAlignment="1">
      <alignment horizontal="center" vertical="center" wrapText="1"/>
    </xf>
    <xf numFmtId="0" fontId="0" fillId="0" borderId="0" xfId="0" applyBorder="1"/>
    <xf numFmtId="0" fontId="27" fillId="0" borderId="0" xfId="6" applyFont="1" applyBorder="1" applyAlignment="1">
      <alignment horizontal="center" vertical="top" wrapText="1"/>
    </xf>
    <xf numFmtId="0" fontId="2" fillId="0" borderId="0" xfId="0" applyFont="1" applyBorder="1"/>
    <xf numFmtId="0" fontId="2" fillId="0" borderId="28" xfId="0" applyFont="1" applyFill="1" applyBorder="1" applyAlignment="1">
      <alignment vertical="center" wrapText="1"/>
    </xf>
    <xf numFmtId="3" fontId="2" fillId="0" borderId="28" xfId="0" applyNumberFormat="1" applyFont="1" applyFill="1" applyBorder="1" applyAlignment="1">
      <alignment vertical="center" wrapText="1"/>
    </xf>
    <xf numFmtId="165" fontId="1" fillId="0" borderId="27" xfId="1" applyNumberFormat="1" applyFill="1" applyBorder="1" applyAlignment="1">
      <alignment horizontal="right" vertical="center" wrapText="1"/>
    </xf>
    <xf numFmtId="0" fontId="18" fillId="0" borderId="11" xfId="0" applyFont="1" applyFill="1" applyBorder="1" applyAlignment="1">
      <alignment horizontal="center" vertical="center" wrapText="1"/>
    </xf>
    <xf numFmtId="0" fontId="18" fillId="0" borderId="11" xfId="0" applyFont="1" applyFill="1" applyBorder="1" applyAlignment="1">
      <alignment vertical="center" wrapText="1"/>
    </xf>
    <xf numFmtId="165" fontId="18" fillId="0" borderId="11" xfId="2" applyNumberFormat="1" applyFont="1" applyFill="1" applyBorder="1" applyAlignment="1">
      <alignment horizontal="center" vertical="center" wrapText="1"/>
    </xf>
    <xf numFmtId="165" fontId="2" fillId="0" borderId="11" xfId="2" applyNumberFormat="1" applyFont="1" applyFill="1" applyBorder="1" applyAlignment="1">
      <alignment horizontal="center" vertical="center" wrapText="1"/>
    </xf>
    <xf numFmtId="0" fontId="51" fillId="0" borderId="0" xfId="6" applyFont="1" applyBorder="1" applyAlignment="1">
      <alignment horizontal="center" vertical="top" wrapText="1"/>
    </xf>
    <xf numFmtId="0" fontId="16" fillId="0" borderId="0" xfId="0" applyFont="1" applyAlignment="1">
      <alignment horizontal="left" wrapText="1"/>
    </xf>
    <xf numFmtId="164" fontId="2" fillId="0" borderId="24" xfId="0" applyNumberFormat="1" applyFont="1" applyFill="1" applyBorder="1" applyAlignment="1">
      <alignment horizontal="center" vertical="center" wrapText="1"/>
    </xf>
    <xf numFmtId="164" fontId="2" fillId="0" borderId="22" xfId="0" applyNumberFormat="1" applyFont="1" applyFill="1" applyBorder="1" applyAlignment="1">
      <alignment horizontal="center" vertical="center" wrapText="1"/>
    </xf>
    <xf numFmtId="164" fontId="2" fillId="0" borderId="19" xfId="0" applyNumberFormat="1" applyFont="1" applyFill="1" applyBorder="1" applyAlignment="1">
      <alignment horizontal="center" vertical="center" wrapText="1"/>
    </xf>
    <xf numFmtId="0" fontId="49" fillId="0" borderId="3" xfId="0" applyFont="1" applyFill="1" applyBorder="1" applyAlignment="1">
      <alignment horizontal="left" vertical="center" wrapText="1"/>
    </xf>
    <xf numFmtId="0" fontId="49" fillId="0" borderId="18" xfId="0" applyFont="1" applyFill="1" applyBorder="1" applyAlignment="1">
      <alignment horizontal="left" vertical="center" wrapText="1"/>
    </xf>
    <xf numFmtId="0" fontId="49" fillId="0" borderId="5" xfId="0" applyFont="1" applyFill="1" applyBorder="1" applyAlignment="1">
      <alignment horizontal="left" vertical="center" wrapText="1"/>
    </xf>
    <xf numFmtId="0" fontId="11" fillId="0" borderId="1" xfId="0" applyFont="1" applyFill="1" applyBorder="1" applyAlignment="1">
      <alignment horizontal="left"/>
    </xf>
    <xf numFmtId="0" fontId="49" fillId="0" borderId="4" xfId="0" applyFont="1" applyFill="1" applyBorder="1" applyAlignment="1">
      <alignment horizontal="left" vertical="center" wrapText="1"/>
    </xf>
    <xf numFmtId="0" fontId="49" fillId="0" borderId="2" xfId="0" applyFont="1" applyFill="1" applyBorder="1" applyAlignment="1">
      <alignment horizontal="left" vertical="center" wrapText="1"/>
    </xf>
    <xf numFmtId="0" fontId="49" fillId="0" borderId="15" xfId="0" applyFont="1" applyFill="1" applyBorder="1" applyAlignment="1">
      <alignment horizontal="left" vertical="center" wrapText="1"/>
    </xf>
    <xf numFmtId="0" fontId="2" fillId="0" borderId="0" xfId="0" applyFont="1" applyFill="1" applyAlignment="1">
      <alignment horizontal="left" wrapText="1"/>
    </xf>
    <xf numFmtId="0" fontId="10" fillId="0" borderId="0" xfId="3" applyFont="1" applyFill="1" applyAlignment="1">
      <alignment horizontal="left"/>
    </xf>
    <xf numFmtId="0" fontId="2" fillId="0" borderId="0" xfId="0" applyFont="1" applyFill="1" applyAlignment="1">
      <alignment horizontal="left" vertical="top" wrapText="1"/>
    </xf>
    <xf numFmtId="0" fontId="28" fillId="0" borderId="0" xfId="6" applyFont="1" applyAlignment="1">
      <alignment horizontal="center"/>
    </xf>
    <xf numFmtId="0" fontId="20" fillId="0" borderId="0" xfId="6" applyFont="1" applyAlignment="1">
      <alignment horizontal="center"/>
    </xf>
    <xf numFmtId="0" fontId="0" fillId="0" borderId="0" xfId="0" applyAlignment="1">
      <alignment horizontal="center"/>
    </xf>
    <xf numFmtId="0" fontId="30" fillId="0" borderId="14" xfId="6" applyFont="1" applyBorder="1" applyAlignment="1">
      <alignment horizontal="center"/>
    </xf>
    <xf numFmtId="0" fontId="29" fillId="0" borderId="26" xfId="6" applyFont="1" applyBorder="1" applyAlignment="1">
      <alignment horizontal="center"/>
    </xf>
    <xf numFmtId="0" fontId="20" fillId="0" borderId="0" xfId="6" applyFont="1" applyBorder="1" applyAlignment="1">
      <alignment horizontal="center" wrapText="1"/>
    </xf>
    <xf numFmtId="0" fontId="20" fillId="0" borderId="0" xfId="6" applyFont="1" applyBorder="1" applyAlignment="1">
      <alignment horizontal="center" vertical="center"/>
    </xf>
    <xf numFmtId="0" fontId="30" fillId="0" borderId="0" xfId="6" applyFont="1" applyBorder="1" applyAlignment="1">
      <alignment horizontal="right"/>
    </xf>
    <xf numFmtId="0" fontId="20" fillId="0" borderId="14" xfId="6" applyFont="1" applyBorder="1" applyAlignment="1">
      <alignment horizontal="center" vertical="top" wrapText="1"/>
    </xf>
    <xf numFmtId="0" fontId="20" fillId="0" borderId="26" xfId="6" applyFont="1" applyBorder="1" applyAlignment="1">
      <alignment horizontal="center" vertical="top" wrapText="1"/>
    </xf>
    <xf numFmtId="0" fontId="20" fillId="0" borderId="14" xfId="6" applyFont="1" applyBorder="1" applyAlignment="1">
      <alignment horizontal="right"/>
    </xf>
    <xf numFmtId="0" fontId="30" fillId="0" borderId="0" xfId="6" applyFont="1" applyBorder="1" applyAlignment="1">
      <alignment horizontal="center"/>
    </xf>
    <xf numFmtId="0" fontId="20" fillId="0" borderId="0" xfId="6" applyFont="1" applyBorder="1" applyAlignment="1">
      <alignment horizontal="center" vertical="top" wrapText="1"/>
    </xf>
    <xf numFmtId="0" fontId="31" fillId="0" borderId="14" xfId="6" applyFont="1" applyBorder="1" applyAlignment="1">
      <alignment horizontal="center"/>
    </xf>
    <xf numFmtId="0" fontId="31" fillId="0" borderId="0" xfId="6" applyFont="1" applyBorder="1" applyAlignment="1">
      <alignment horizontal="center"/>
    </xf>
    <xf numFmtId="0" fontId="31" fillId="0" borderId="22" xfId="7" applyFont="1" applyFill="1" applyBorder="1" applyAlignment="1">
      <alignment horizontal="right"/>
    </xf>
    <xf numFmtId="0" fontId="20" fillId="0" borderId="0" xfId="6" applyFont="1" applyBorder="1" applyAlignment="1">
      <alignment horizontal="left" vertical="center" wrapText="1"/>
    </xf>
    <xf numFmtId="0" fontId="20" fillId="0" borderId="0" xfId="6" applyFont="1" applyAlignment="1">
      <alignment horizontal="left" vertical="top"/>
    </xf>
    <xf numFmtId="169" fontId="20" fillId="0" borderId="0" xfId="5" applyNumberFormat="1" applyFont="1" applyFill="1" applyBorder="1" applyAlignment="1" applyProtection="1">
      <alignment horizontal="left" vertical="top"/>
    </xf>
    <xf numFmtId="0" fontId="20" fillId="0" borderId="0" xfId="6" applyFont="1" applyAlignment="1">
      <alignment horizontal="center" vertical="top"/>
    </xf>
    <xf numFmtId="0" fontId="33" fillId="0" borderId="0" xfId="6" applyFont="1" applyBorder="1" applyAlignment="1">
      <alignment horizontal="center" vertical="center" wrapText="1"/>
    </xf>
    <xf numFmtId="0" fontId="20" fillId="0" borderId="0" xfId="6" applyFont="1" applyBorder="1" applyAlignment="1">
      <alignment horizontal="center" vertical="center" wrapText="1"/>
    </xf>
    <xf numFmtId="0" fontId="33" fillId="0" borderId="0" xfId="6" applyFont="1" applyBorder="1" applyAlignment="1">
      <alignment vertical="center" wrapText="1"/>
    </xf>
    <xf numFmtId="0" fontId="29" fillId="0" borderId="0" xfId="6" applyFont="1" applyBorder="1" applyAlignment="1">
      <alignment horizontal="left" wrapText="1"/>
    </xf>
    <xf numFmtId="0" fontId="20" fillId="0" borderId="0" xfId="6" applyFont="1" applyBorder="1" applyAlignment="1">
      <alignment horizontal="left" vertical="top"/>
    </xf>
    <xf numFmtId="0" fontId="34" fillId="6" borderId="11" xfId="6" applyFont="1" applyFill="1" applyBorder="1" applyAlignment="1">
      <alignment horizontal="center" vertical="center"/>
    </xf>
    <xf numFmtId="0" fontId="35" fillId="7" borderId="11" xfId="6" applyFont="1" applyFill="1" applyBorder="1" applyAlignment="1">
      <alignment horizontal="center" vertical="center" wrapText="1"/>
    </xf>
    <xf numFmtId="0" fontId="27" fillId="0" borderId="0" xfId="6" applyFont="1" applyBorder="1" applyAlignment="1">
      <alignment horizontal="center" vertical="center"/>
    </xf>
    <xf numFmtId="0" fontId="34" fillId="3" borderId="11" xfId="6" applyFont="1" applyFill="1" applyBorder="1" applyAlignment="1">
      <alignment horizontal="center" vertical="center"/>
    </xf>
    <xf numFmtId="0" fontId="34" fillId="4" borderId="11" xfId="6" applyFont="1" applyFill="1" applyBorder="1" applyAlignment="1">
      <alignment horizontal="center" vertical="center"/>
    </xf>
    <xf numFmtId="0" fontId="34" fillId="5" borderId="11" xfId="6" applyFont="1" applyFill="1" applyBorder="1" applyAlignment="1">
      <alignment horizontal="center" vertical="center"/>
    </xf>
    <xf numFmtId="0" fontId="18" fillId="0" borderId="18" xfId="0" applyFont="1" applyFill="1" applyBorder="1" applyAlignment="1">
      <alignment horizontal="center" vertical="center" wrapText="1"/>
    </xf>
    <xf numFmtId="0" fontId="2" fillId="0" borderId="29" xfId="0" applyFont="1" applyFill="1" applyBorder="1" applyAlignment="1">
      <alignment vertical="center" wrapText="1"/>
    </xf>
    <xf numFmtId="0" fontId="2" fillId="0" borderId="17" xfId="0" applyFont="1" applyFill="1" applyBorder="1" applyAlignment="1">
      <alignment vertical="center" wrapText="1"/>
    </xf>
    <xf numFmtId="3" fontId="2" fillId="0" borderId="23" xfId="0" applyNumberFormat="1" applyFont="1" applyFill="1" applyBorder="1" applyAlignment="1">
      <alignment vertical="center" wrapText="1"/>
    </xf>
    <xf numFmtId="165" fontId="1" fillId="0" borderId="30" xfId="1" applyNumberFormat="1" applyFill="1" applyBorder="1" applyAlignment="1">
      <alignment horizontal="right" vertical="center" wrapText="1"/>
    </xf>
    <xf numFmtId="3" fontId="2" fillId="0" borderId="11" xfId="0" applyNumberFormat="1" applyFont="1" applyFill="1" applyBorder="1" applyAlignment="1">
      <alignment vertical="center" wrapText="1"/>
    </xf>
    <xf numFmtId="3" fontId="13" fillId="0" borderId="21" xfId="0" applyNumberFormat="1" applyFont="1" applyBorder="1" applyAlignment="1">
      <alignment horizontal="center"/>
    </xf>
  </cellXfs>
  <cellStyles count="21">
    <cellStyle name="Comma" xfId="1" builtinId="3"/>
    <cellStyle name="Comma 2" xfId="12"/>
    <cellStyle name="Comma 2 2" xfId="15"/>
    <cellStyle name="Comma 3" xfId="5"/>
    <cellStyle name="Excel_BuiltIn_Comma" xfId="2"/>
    <cellStyle name="Excel_BuiltIn_Comma 1 3" xfId="11"/>
    <cellStyle name="Normal" xfId="0" builtinId="0"/>
    <cellStyle name="Normal 2" xfId="6"/>
    <cellStyle name="Normal 2 2" xfId="17"/>
    <cellStyle name="Normal 2 3" xfId="16"/>
    <cellStyle name="Normal 3" xfId="13"/>
    <cellStyle name="Normal 3 2" xfId="19"/>
    <cellStyle name="Normal 3 3" xfId="18"/>
    <cellStyle name="Normal 4" xfId="4"/>
    <cellStyle name="Normal 5" xfId="20"/>
    <cellStyle name="Normal 6" xfId="14"/>
    <cellStyle name="Style 1_CTY TNHH_DIA_OC_HOA_BINH" xfId="3"/>
    <cellStyle name="Style 1_CTY TNHH_DIA_OC_HOA_BINH 3" xfId="7"/>
    <cellStyle name="Untitled1" xfId="8"/>
    <cellStyle name="Untitled2" xfId="9"/>
    <cellStyle name="Untitled3" xfId="1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18745</xdr:rowOff>
    </xdr:from>
    <xdr:ext cx="1475292" cy="655899"/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lum/>
          <a:alphaModFix/>
        </a:blip>
        <a:srcRect/>
        <a:stretch>
          <a:fillRect/>
        </a:stretch>
      </xdr:blipFill>
      <xdr:spPr>
        <a:xfrm>
          <a:off x="0" y="18745"/>
          <a:ext cx="1475292" cy="655899"/>
        </a:xfrm>
        <a:prstGeom prst="rect">
          <a:avLst/>
        </a:prstGeom>
        <a:noFill/>
        <a:ln>
          <a:noFill/>
        </a:ln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76200</xdr:colOff>
      <xdr:row>0</xdr:row>
      <xdr:rowOff>38101</xdr:rowOff>
    </xdr:from>
    <xdr:to>
      <xdr:col>1</xdr:col>
      <xdr:colOff>720437</xdr:colOff>
      <xdr:row>2</xdr:row>
      <xdr:rowOff>171451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76200" y="38101"/>
          <a:ext cx="987137" cy="5715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 filterMode="1"/>
  <dimension ref="A1:IS234"/>
  <sheetViews>
    <sheetView topLeftCell="A13" workbookViewId="0">
      <selection activeCell="Q14" sqref="Q14"/>
    </sheetView>
  </sheetViews>
  <sheetFormatPr defaultRowHeight="15"/>
  <cols>
    <col min="1" max="1" width="5.140625" style="1" customWidth="1"/>
    <col min="2" max="2" width="5.5703125" style="2" customWidth="1"/>
    <col min="3" max="3" width="2.42578125" style="2" customWidth="1"/>
    <col min="4" max="4" width="2.5703125" style="2" customWidth="1"/>
    <col min="5" max="5" width="8.7109375" style="2" customWidth="1"/>
    <col min="6" max="6" width="4.28515625" style="2" customWidth="1"/>
    <col min="7" max="7" width="2.42578125" style="2" customWidth="1"/>
    <col min="8" max="8" width="4.5703125" style="2" customWidth="1"/>
    <col min="9" max="9" width="4.140625" style="2" customWidth="1"/>
    <col min="10" max="10" width="7.85546875" style="1" customWidth="1"/>
    <col min="11" max="11" width="8" style="2" customWidth="1"/>
    <col min="12" max="12" width="18.28515625" style="59" customWidth="1"/>
    <col min="13" max="13" width="13" style="60" customWidth="1"/>
    <col min="14" max="14" width="15.85546875" style="60" customWidth="1"/>
    <col min="15" max="15" width="17" style="60" customWidth="1"/>
    <col min="16" max="16" width="9.7109375" style="6" customWidth="1"/>
    <col min="17" max="252" width="9.7109375" style="2" customWidth="1"/>
    <col min="253" max="1024" width="9.7109375" customWidth="1"/>
    <col min="1025" max="1025" width="10.28515625" customWidth="1"/>
  </cols>
  <sheetData>
    <row r="1" spans="1:252" ht="19.5">
      <c r="F1" s="3" t="s">
        <v>0</v>
      </c>
      <c r="G1" s="4"/>
      <c r="H1" s="4"/>
      <c r="J1" s="5"/>
      <c r="K1" s="4"/>
      <c r="L1" s="57"/>
      <c r="M1" s="58"/>
      <c r="N1" s="58"/>
      <c r="O1" s="58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</row>
    <row r="2" spans="1:252">
      <c r="F2" s="7" t="s">
        <v>1</v>
      </c>
      <c r="G2" s="8"/>
      <c r="H2" s="8"/>
      <c r="J2" s="9"/>
      <c r="K2" s="8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</row>
    <row r="3" spans="1:252">
      <c r="F3" s="8" t="s">
        <v>2</v>
      </c>
      <c r="H3" s="2" t="s">
        <v>3</v>
      </c>
      <c r="K3" s="124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</row>
    <row r="4" spans="1:252">
      <c r="K4" s="12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</row>
    <row r="5" spans="1:252">
      <c r="K5" s="124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</row>
    <row r="6" spans="1:252" ht="18">
      <c r="I6" s="10" t="s">
        <v>4</v>
      </c>
      <c r="K6" s="124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</row>
    <row r="7" spans="1:252" ht="18.75">
      <c r="I7" s="11" t="s">
        <v>5</v>
      </c>
      <c r="K7" s="124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</row>
    <row r="8" spans="1:252">
      <c r="D8" s="12"/>
      <c r="E8" s="12"/>
      <c r="F8" s="12"/>
      <c r="G8" s="12"/>
      <c r="H8" s="12"/>
      <c r="I8" s="12"/>
      <c r="K8" s="124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  <c r="IK8"/>
      <c r="IL8"/>
      <c r="IM8"/>
      <c r="IN8"/>
      <c r="IO8"/>
      <c r="IP8"/>
      <c r="IQ8"/>
      <c r="IR8"/>
    </row>
    <row r="9" spans="1:252" ht="15.75">
      <c r="A9" s="218" t="s">
        <v>6</v>
      </c>
      <c r="B9" s="218"/>
      <c r="E9" s="13" t="s">
        <v>238</v>
      </c>
      <c r="J9" s="14"/>
      <c r="K9" s="124"/>
      <c r="M9" s="14" t="s">
        <v>7</v>
      </c>
      <c r="N9" s="58" t="s">
        <v>8</v>
      </c>
      <c r="O9" s="14"/>
      <c r="P9" s="61"/>
      <c r="Q9" s="15"/>
      <c r="R9" s="5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</row>
    <row r="10" spans="1:252" s="2" customFormat="1" ht="12.75">
      <c r="A10" s="1"/>
      <c r="B10" s="16"/>
      <c r="C10" s="17" t="s">
        <v>9</v>
      </c>
      <c r="D10" s="219" t="s">
        <v>10</v>
      </c>
      <c r="E10" s="219"/>
      <c r="F10" s="219"/>
      <c r="G10" s="219"/>
      <c r="H10" s="219"/>
      <c r="I10" s="219"/>
      <c r="J10" s="18"/>
      <c r="K10" s="19"/>
      <c r="M10" s="2" t="s">
        <v>11</v>
      </c>
      <c r="N10" s="60"/>
      <c r="O10" s="62"/>
      <c r="Q10" s="6"/>
    </row>
    <row r="11" spans="1:252" ht="15.75">
      <c r="A11" s="218" t="s">
        <v>12</v>
      </c>
      <c r="B11" s="218"/>
      <c r="C11" s="17" t="s">
        <v>9</v>
      </c>
      <c r="D11" s="13" t="s">
        <v>239</v>
      </c>
      <c r="E11" s="20"/>
      <c r="F11" s="20"/>
      <c r="G11" s="20"/>
      <c r="I11" s="20" t="s">
        <v>226</v>
      </c>
      <c r="J11" s="20"/>
      <c r="K11" s="124"/>
      <c r="M11" s="2" t="s">
        <v>13</v>
      </c>
      <c r="N11"/>
      <c r="O11" s="62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</row>
    <row r="12" spans="1:252">
      <c r="A12" s="220" t="s">
        <v>14</v>
      </c>
      <c r="B12" s="220"/>
      <c r="C12" s="17" t="s">
        <v>9</v>
      </c>
      <c r="D12" s="19"/>
      <c r="E12" s="19"/>
      <c r="F12" s="19"/>
      <c r="G12" s="19"/>
      <c r="H12" s="19"/>
      <c r="I12" s="19"/>
      <c r="J12" s="19"/>
      <c r="K12" s="20"/>
      <c r="L12" s="2"/>
      <c r="M12" s="214" t="s">
        <v>15</v>
      </c>
      <c r="N12" s="214"/>
      <c r="O12" s="214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</row>
    <row r="13" spans="1:252" ht="16.5">
      <c r="A13" s="21"/>
      <c r="B13" s="22"/>
      <c r="C13" s="17"/>
      <c r="D13" s="19"/>
      <c r="E13" s="19"/>
      <c r="F13" s="19"/>
      <c r="G13" s="19"/>
      <c r="H13" s="19"/>
      <c r="I13" s="19"/>
      <c r="J13" s="19"/>
      <c r="K13" s="20"/>
      <c r="L13" s="63"/>
      <c r="M13" s="64"/>
      <c r="N13" s="64"/>
      <c r="O13" s="64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</row>
    <row r="14" spans="1:252" s="123" customFormat="1" ht="38.25">
      <c r="A14" s="183" t="s">
        <v>229</v>
      </c>
      <c r="B14" s="211" t="s">
        <v>228</v>
      </c>
      <c r="C14" s="211"/>
      <c r="D14" s="211"/>
      <c r="E14" s="211"/>
      <c r="F14" s="211"/>
      <c r="G14" s="211"/>
      <c r="H14" s="211"/>
      <c r="I14" s="211"/>
      <c r="J14" s="184" t="s">
        <v>16</v>
      </c>
      <c r="K14" s="184" t="s">
        <v>17</v>
      </c>
      <c r="L14" s="185" t="s">
        <v>230</v>
      </c>
      <c r="M14" s="169" t="s">
        <v>18</v>
      </c>
      <c r="N14" s="169" t="s">
        <v>19</v>
      </c>
      <c r="O14" s="169" t="s">
        <v>20</v>
      </c>
      <c r="P14" s="170"/>
      <c r="Q14" s="124"/>
      <c r="R14" s="124"/>
    </row>
    <row r="15" spans="1:252" s="123" customFormat="1" ht="19.5" customHeight="1">
      <c r="A15" s="184">
        <v>1</v>
      </c>
      <c r="B15" s="215" t="s">
        <v>151</v>
      </c>
      <c r="C15" s="216" t="s">
        <v>151</v>
      </c>
      <c r="D15" s="216" t="s">
        <v>151</v>
      </c>
      <c r="E15" s="216" t="s">
        <v>151</v>
      </c>
      <c r="F15" s="216" t="s">
        <v>151</v>
      </c>
      <c r="G15" s="216" t="s">
        <v>151</v>
      </c>
      <c r="H15" s="216" t="s">
        <v>151</v>
      </c>
      <c r="I15" s="217" t="s">
        <v>151</v>
      </c>
      <c r="J15" s="184" t="s">
        <v>46</v>
      </c>
      <c r="K15" s="186">
        <v>4</v>
      </c>
      <c r="L15" s="187">
        <v>23000</v>
      </c>
      <c r="M15" s="125">
        <f>L15*K15</f>
        <v>92000</v>
      </c>
      <c r="N15" s="125">
        <f>M15*10%</f>
        <v>9200</v>
      </c>
      <c r="O15" s="125">
        <f>M15+N15</f>
        <v>101200</v>
      </c>
      <c r="P15" s="129"/>
    </row>
    <row r="16" spans="1:252" s="123" customFormat="1" ht="19.5" customHeight="1">
      <c r="A16" s="184">
        <v>2</v>
      </c>
      <c r="B16" s="215" t="s">
        <v>50</v>
      </c>
      <c r="C16" s="216" t="s">
        <v>50</v>
      </c>
      <c r="D16" s="216" t="s">
        <v>50</v>
      </c>
      <c r="E16" s="216" t="s">
        <v>50</v>
      </c>
      <c r="F16" s="216" t="s">
        <v>50</v>
      </c>
      <c r="G16" s="216" t="s">
        <v>50</v>
      </c>
      <c r="H16" s="216" t="s">
        <v>50</v>
      </c>
      <c r="I16" s="217" t="s">
        <v>50</v>
      </c>
      <c r="J16" s="184" t="s">
        <v>51</v>
      </c>
      <c r="K16" s="186">
        <v>10</v>
      </c>
      <c r="L16" s="187">
        <v>1200</v>
      </c>
      <c r="M16" s="125">
        <f t="shared" ref="M16:M79" si="0">L16*K16</f>
        <v>12000</v>
      </c>
      <c r="N16" s="125">
        <f t="shared" ref="N16:N79" si="1">M16*10%</f>
        <v>1200</v>
      </c>
      <c r="O16" s="125">
        <f t="shared" ref="O16:O79" si="2">M16+N16</f>
        <v>13200</v>
      </c>
      <c r="P16" s="129"/>
    </row>
    <row r="17" spans="1:18" s="123" customFormat="1" ht="19.5" customHeight="1">
      <c r="A17" s="184">
        <v>3</v>
      </c>
      <c r="B17" s="215" t="s">
        <v>161</v>
      </c>
      <c r="C17" s="216" t="s">
        <v>161</v>
      </c>
      <c r="D17" s="216" t="s">
        <v>161</v>
      </c>
      <c r="E17" s="216" t="s">
        <v>161</v>
      </c>
      <c r="F17" s="216" t="s">
        <v>161</v>
      </c>
      <c r="G17" s="216" t="s">
        <v>161</v>
      </c>
      <c r="H17" s="216" t="s">
        <v>161</v>
      </c>
      <c r="I17" s="217" t="s">
        <v>161</v>
      </c>
      <c r="J17" s="184" t="s">
        <v>53</v>
      </c>
      <c r="K17" s="186">
        <v>50</v>
      </c>
      <c r="L17" s="187">
        <v>295</v>
      </c>
      <c r="M17" s="125">
        <f t="shared" si="0"/>
        <v>14750</v>
      </c>
      <c r="N17" s="125">
        <f t="shared" si="1"/>
        <v>1475</v>
      </c>
      <c r="O17" s="125">
        <f t="shared" si="2"/>
        <v>16225</v>
      </c>
      <c r="P17" s="129"/>
    </row>
    <row r="18" spans="1:18" s="123" customFormat="1" ht="19.5" customHeight="1">
      <c r="A18" s="184">
        <v>4</v>
      </c>
      <c r="B18" s="215" t="s">
        <v>64</v>
      </c>
      <c r="C18" s="216" t="s">
        <v>64</v>
      </c>
      <c r="D18" s="216" t="s">
        <v>64</v>
      </c>
      <c r="E18" s="216" t="s">
        <v>64</v>
      </c>
      <c r="F18" s="216" t="s">
        <v>64</v>
      </c>
      <c r="G18" s="216" t="s">
        <v>64</v>
      </c>
      <c r="H18" s="216" t="s">
        <v>64</v>
      </c>
      <c r="I18" s="217" t="s">
        <v>64</v>
      </c>
      <c r="J18" s="184" t="s">
        <v>51</v>
      </c>
      <c r="K18" s="186">
        <v>5</v>
      </c>
      <c r="L18" s="187">
        <v>3000</v>
      </c>
      <c r="M18" s="125">
        <f t="shared" si="0"/>
        <v>15000</v>
      </c>
      <c r="N18" s="125">
        <f t="shared" si="1"/>
        <v>1500</v>
      </c>
      <c r="O18" s="125">
        <f t="shared" si="2"/>
        <v>16500</v>
      </c>
      <c r="P18" s="129"/>
    </row>
    <row r="19" spans="1:18" s="123" customFormat="1" ht="19.5" customHeight="1">
      <c r="A19" s="184">
        <v>5</v>
      </c>
      <c r="B19" s="215" t="s">
        <v>218</v>
      </c>
      <c r="C19" s="216" t="s">
        <v>218</v>
      </c>
      <c r="D19" s="216" t="s">
        <v>218</v>
      </c>
      <c r="E19" s="216" t="s">
        <v>218</v>
      </c>
      <c r="F19" s="216" t="s">
        <v>218</v>
      </c>
      <c r="G19" s="216" t="s">
        <v>218</v>
      </c>
      <c r="H19" s="216" t="s">
        <v>218</v>
      </c>
      <c r="I19" s="217" t="s">
        <v>218</v>
      </c>
      <c r="J19" s="184" t="s">
        <v>55</v>
      </c>
      <c r="K19" s="186">
        <v>5</v>
      </c>
      <c r="L19" s="187">
        <v>4000</v>
      </c>
      <c r="M19" s="125">
        <f t="shared" si="0"/>
        <v>20000</v>
      </c>
      <c r="N19" s="125">
        <f t="shared" si="1"/>
        <v>2000</v>
      </c>
      <c r="O19" s="125">
        <f t="shared" si="2"/>
        <v>22000</v>
      </c>
      <c r="P19" s="129"/>
    </row>
    <row r="20" spans="1:18" s="123" customFormat="1" ht="19.5" customHeight="1">
      <c r="A20" s="184">
        <v>6</v>
      </c>
      <c r="B20" s="215" t="s">
        <v>67</v>
      </c>
      <c r="C20" s="216" t="s">
        <v>67</v>
      </c>
      <c r="D20" s="216" t="s">
        <v>67</v>
      </c>
      <c r="E20" s="216" t="s">
        <v>67</v>
      </c>
      <c r="F20" s="216" t="s">
        <v>67</v>
      </c>
      <c r="G20" s="216" t="s">
        <v>67</v>
      </c>
      <c r="H20" s="216" t="s">
        <v>67</v>
      </c>
      <c r="I20" s="217" t="s">
        <v>67</v>
      </c>
      <c r="J20" s="184" t="s">
        <v>57</v>
      </c>
      <c r="K20" s="186">
        <v>3</v>
      </c>
      <c r="L20" s="187">
        <v>7000</v>
      </c>
      <c r="M20" s="125">
        <f t="shared" si="0"/>
        <v>21000</v>
      </c>
      <c r="N20" s="125">
        <f t="shared" si="1"/>
        <v>2100</v>
      </c>
      <c r="O20" s="125">
        <f t="shared" si="2"/>
        <v>23100</v>
      </c>
      <c r="P20" s="129"/>
    </row>
    <row r="21" spans="1:18" s="123" customFormat="1" ht="19.5" customHeight="1">
      <c r="A21" s="184">
        <v>7</v>
      </c>
      <c r="B21" s="215" t="s">
        <v>175</v>
      </c>
      <c r="C21" s="216" t="s">
        <v>175</v>
      </c>
      <c r="D21" s="216" t="s">
        <v>175</v>
      </c>
      <c r="E21" s="216" t="s">
        <v>175</v>
      </c>
      <c r="F21" s="216" t="s">
        <v>175</v>
      </c>
      <c r="G21" s="216" t="s">
        <v>175</v>
      </c>
      <c r="H21" s="216" t="s">
        <v>175</v>
      </c>
      <c r="I21" s="217" t="s">
        <v>175</v>
      </c>
      <c r="J21" s="184" t="s">
        <v>70</v>
      </c>
      <c r="K21" s="186">
        <v>80</v>
      </c>
      <c r="L21" s="187">
        <v>2600</v>
      </c>
      <c r="M21" s="125">
        <f t="shared" si="0"/>
        <v>208000</v>
      </c>
      <c r="N21" s="125">
        <f t="shared" si="1"/>
        <v>20800</v>
      </c>
      <c r="O21" s="125">
        <f t="shared" si="2"/>
        <v>228800</v>
      </c>
      <c r="P21" s="129"/>
    </row>
    <row r="22" spans="1:18" s="123" customFormat="1" ht="19.5" customHeight="1">
      <c r="A22" s="184">
        <v>8</v>
      </c>
      <c r="B22" s="215" t="s">
        <v>178</v>
      </c>
      <c r="C22" s="216" t="s">
        <v>178</v>
      </c>
      <c r="D22" s="216" t="s">
        <v>178</v>
      </c>
      <c r="E22" s="216" t="s">
        <v>178</v>
      </c>
      <c r="F22" s="216" t="s">
        <v>178</v>
      </c>
      <c r="G22" s="216" t="s">
        <v>178</v>
      </c>
      <c r="H22" s="216" t="s">
        <v>178</v>
      </c>
      <c r="I22" s="217" t="s">
        <v>178</v>
      </c>
      <c r="J22" s="184" t="s">
        <v>70</v>
      </c>
      <c r="K22" s="186">
        <v>3</v>
      </c>
      <c r="L22" s="187">
        <v>32000</v>
      </c>
      <c r="M22" s="125">
        <f t="shared" si="0"/>
        <v>96000</v>
      </c>
      <c r="N22" s="125">
        <f t="shared" si="1"/>
        <v>9600</v>
      </c>
      <c r="O22" s="125">
        <f t="shared" si="2"/>
        <v>105600</v>
      </c>
      <c r="P22" s="129"/>
    </row>
    <row r="23" spans="1:18" s="123" customFormat="1" ht="19.5" customHeight="1">
      <c r="A23" s="184">
        <v>9</v>
      </c>
      <c r="B23" s="215" t="s">
        <v>179</v>
      </c>
      <c r="C23" s="216" t="s">
        <v>179</v>
      </c>
      <c r="D23" s="216" t="s">
        <v>179</v>
      </c>
      <c r="E23" s="216" t="s">
        <v>179</v>
      </c>
      <c r="F23" s="216" t="s">
        <v>179</v>
      </c>
      <c r="G23" s="216" t="s">
        <v>179</v>
      </c>
      <c r="H23" s="216" t="s">
        <v>179</v>
      </c>
      <c r="I23" s="217" t="s">
        <v>179</v>
      </c>
      <c r="J23" s="184" t="s">
        <v>72</v>
      </c>
      <c r="K23" s="186">
        <v>2</v>
      </c>
      <c r="L23" s="187">
        <v>33000</v>
      </c>
      <c r="M23" s="125">
        <f t="shared" si="0"/>
        <v>66000</v>
      </c>
      <c r="N23" s="125">
        <f t="shared" si="1"/>
        <v>6600</v>
      </c>
      <c r="O23" s="125">
        <f t="shared" si="2"/>
        <v>72600</v>
      </c>
      <c r="P23" s="129"/>
    </row>
    <row r="24" spans="1:18" s="123" customFormat="1" ht="19.5" customHeight="1">
      <c r="A24" s="184">
        <v>10</v>
      </c>
      <c r="B24" s="211" t="s">
        <v>180</v>
      </c>
      <c r="C24" s="211" t="s">
        <v>180</v>
      </c>
      <c r="D24" s="211" t="s">
        <v>180</v>
      </c>
      <c r="E24" s="211" t="s">
        <v>180</v>
      </c>
      <c r="F24" s="211" t="s">
        <v>180</v>
      </c>
      <c r="G24" s="211" t="s">
        <v>180</v>
      </c>
      <c r="H24" s="211" t="s">
        <v>180</v>
      </c>
      <c r="I24" s="211" t="s">
        <v>180</v>
      </c>
      <c r="J24" s="184" t="s">
        <v>70</v>
      </c>
      <c r="K24" s="186">
        <v>1</v>
      </c>
      <c r="L24" s="187">
        <v>135000</v>
      </c>
      <c r="M24" s="125">
        <f t="shared" si="0"/>
        <v>135000</v>
      </c>
      <c r="N24" s="125">
        <f t="shared" si="1"/>
        <v>13500</v>
      </c>
      <c r="O24" s="125">
        <f t="shared" si="2"/>
        <v>148500</v>
      </c>
      <c r="P24" s="129"/>
    </row>
    <row r="25" spans="1:18" s="123" customFormat="1" ht="19.5" customHeight="1">
      <c r="A25" s="184">
        <v>11</v>
      </c>
      <c r="B25" s="211" t="s">
        <v>181</v>
      </c>
      <c r="C25" s="211" t="s">
        <v>181</v>
      </c>
      <c r="D25" s="211" t="s">
        <v>181</v>
      </c>
      <c r="E25" s="211" t="s">
        <v>181</v>
      </c>
      <c r="F25" s="211" t="s">
        <v>181</v>
      </c>
      <c r="G25" s="211" t="s">
        <v>181</v>
      </c>
      <c r="H25" s="211" t="s">
        <v>181</v>
      </c>
      <c r="I25" s="211" t="s">
        <v>181</v>
      </c>
      <c r="J25" s="184" t="s">
        <v>70</v>
      </c>
      <c r="K25" s="186">
        <v>2</v>
      </c>
      <c r="L25" s="187">
        <v>4800</v>
      </c>
      <c r="M25" s="125">
        <f t="shared" si="0"/>
        <v>9600</v>
      </c>
      <c r="N25" s="125">
        <f t="shared" si="1"/>
        <v>960</v>
      </c>
      <c r="O25" s="125">
        <f t="shared" si="2"/>
        <v>10560</v>
      </c>
      <c r="P25" s="129"/>
    </row>
    <row r="26" spans="1:18" s="123" customFormat="1" ht="19.5" customHeight="1">
      <c r="A26" s="184">
        <v>12</v>
      </c>
      <c r="B26" s="211" t="s">
        <v>223</v>
      </c>
      <c r="C26" s="211" t="s">
        <v>223</v>
      </c>
      <c r="D26" s="211" t="s">
        <v>223</v>
      </c>
      <c r="E26" s="211" t="s">
        <v>223</v>
      </c>
      <c r="F26" s="211" t="s">
        <v>223</v>
      </c>
      <c r="G26" s="211" t="s">
        <v>223</v>
      </c>
      <c r="H26" s="211" t="s">
        <v>223</v>
      </c>
      <c r="I26" s="211" t="s">
        <v>223</v>
      </c>
      <c r="J26" s="184" t="s">
        <v>81</v>
      </c>
      <c r="K26" s="186">
        <v>2</v>
      </c>
      <c r="L26" s="187">
        <v>38000</v>
      </c>
      <c r="M26" s="125">
        <f t="shared" si="0"/>
        <v>76000</v>
      </c>
      <c r="N26" s="125">
        <f t="shared" si="1"/>
        <v>7600</v>
      </c>
      <c r="O26" s="125">
        <f t="shared" si="2"/>
        <v>83600</v>
      </c>
      <c r="P26" s="129"/>
    </row>
    <row r="27" spans="1:18" s="123" customFormat="1" ht="19.5" customHeight="1">
      <c r="A27" s="184">
        <v>13</v>
      </c>
      <c r="B27" s="211" t="s">
        <v>184</v>
      </c>
      <c r="C27" s="211" t="s">
        <v>184</v>
      </c>
      <c r="D27" s="211" t="s">
        <v>184</v>
      </c>
      <c r="E27" s="211" t="s">
        <v>184</v>
      </c>
      <c r="F27" s="211" t="s">
        <v>184</v>
      </c>
      <c r="G27" s="211" t="s">
        <v>184</v>
      </c>
      <c r="H27" s="211" t="s">
        <v>184</v>
      </c>
      <c r="I27" s="211" t="s">
        <v>184</v>
      </c>
      <c r="J27" s="184" t="s">
        <v>57</v>
      </c>
      <c r="K27" s="186">
        <v>3</v>
      </c>
      <c r="L27" s="187">
        <v>22000</v>
      </c>
      <c r="M27" s="125">
        <f t="shared" si="0"/>
        <v>66000</v>
      </c>
      <c r="N27" s="125">
        <f t="shared" si="1"/>
        <v>6600</v>
      </c>
      <c r="O27" s="125">
        <f t="shared" si="2"/>
        <v>72600</v>
      </c>
      <c r="P27" s="129"/>
    </row>
    <row r="28" spans="1:18" s="123" customFormat="1" ht="19.5" customHeight="1">
      <c r="A28" s="184">
        <v>14</v>
      </c>
      <c r="B28" s="211" t="s">
        <v>185</v>
      </c>
      <c r="C28" s="211" t="s">
        <v>185</v>
      </c>
      <c r="D28" s="211" t="s">
        <v>185</v>
      </c>
      <c r="E28" s="211" t="s">
        <v>185</v>
      </c>
      <c r="F28" s="211" t="s">
        <v>185</v>
      </c>
      <c r="G28" s="211" t="s">
        <v>185</v>
      </c>
      <c r="H28" s="211" t="s">
        <v>185</v>
      </c>
      <c r="I28" s="211" t="s">
        <v>185</v>
      </c>
      <c r="J28" s="184" t="s">
        <v>57</v>
      </c>
      <c r="K28" s="186">
        <v>3</v>
      </c>
      <c r="L28" s="187">
        <v>21000</v>
      </c>
      <c r="M28" s="125">
        <f t="shared" si="0"/>
        <v>63000</v>
      </c>
      <c r="N28" s="125">
        <f t="shared" si="1"/>
        <v>6300</v>
      </c>
      <c r="O28" s="125">
        <f t="shared" si="2"/>
        <v>69300</v>
      </c>
      <c r="P28" s="129"/>
    </row>
    <row r="29" spans="1:18" s="123" customFormat="1" ht="19.5" customHeight="1">
      <c r="A29" s="184">
        <v>15</v>
      </c>
      <c r="B29" s="211" t="s">
        <v>187</v>
      </c>
      <c r="C29" s="211" t="s">
        <v>187</v>
      </c>
      <c r="D29" s="211" t="s">
        <v>187</v>
      </c>
      <c r="E29" s="211" t="s">
        <v>187</v>
      </c>
      <c r="F29" s="211" t="s">
        <v>187</v>
      </c>
      <c r="G29" s="211" t="s">
        <v>187</v>
      </c>
      <c r="H29" s="211" t="s">
        <v>187</v>
      </c>
      <c r="I29" s="211" t="s">
        <v>187</v>
      </c>
      <c r="J29" s="184" t="s">
        <v>57</v>
      </c>
      <c r="K29" s="186">
        <v>2</v>
      </c>
      <c r="L29" s="187">
        <v>18500</v>
      </c>
      <c r="M29" s="125">
        <f t="shared" si="0"/>
        <v>37000</v>
      </c>
      <c r="N29" s="125">
        <f t="shared" si="1"/>
        <v>3700</v>
      </c>
      <c r="O29" s="125">
        <f t="shared" si="2"/>
        <v>40700</v>
      </c>
      <c r="P29" s="129"/>
      <c r="Q29" s="124"/>
      <c r="R29" s="124"/>
    </row>
    <row r="30" spans="1:18" s="123" customFormat="1" ht="19.5" customHeight="1">
      <c r="A30" s="184">
        <v>16</v>
      </c>
      <c r="B30" s="211" t="s">
        <v>199</v>
      </c>
      <c r="C30" s="211" t="s">
        <v>199</v>
      </c>
      <c r="D30" s="211" t="s">
        <v>199</v>
      </c>
      <c r="E30" s="211" t="s">
        <v>199</v>
      </c>
      <c r="F30" s="211" t="s">
        <v>199</v>
      </c>
      <c r="G30" s="211" t="s">
        <v>199</v>
      </c>
      <c r="H30" s="211" t="s">
        <v>199</v>
      </c>
      <c r="I30" s="211" t="s">
        <v>199</v>
      </c>
      <c r="J30" s="184" t="s">
        <v>70</v>
      </c>
      <c r="K30" s="186">
        <v>1</v>
      </c>
      <c r="L30" s="187">
        <v>12000</v>
      </c>
      <c r="M30" s="125">
        <f t="shared" si="0"/>
        <v>12000</v>
      </c>
      <c r="N30" s="125">
        <f t="shared" si="1"/>
        <v>1200</v>
      </c>
      <c r="O30" s="125">
        <f t="shared" si="2"/>
        <v>13200</v>
      </c>
      <c r="P30" s="129"/>
      <c r="Q30" s="124"/>
      <c r="R30" s="124"/>
    </row>
    <row r="31" spans="1:18" s="123" customFormat="1" ht="19.5" customHeight="1">
      <c r="A31" s="184">
        <v>17</v>
      </c>
      <c r="B31" s="211" t="s">
        <v>207</v>
      </c>
      <c r="C31" s="211" t="s">
        <v>207</v>
      </c>
      <c r="D31" s="211" t="s">
        <v>207</v>
      </c>
      <c r="E31" s="211" t="s">
        <v>207</v>
      </c>
      <c r="F31" s="211" t="s">
        <v>207</v>
      </c>
      <c r="G31" s="211" t="s">
        <v>207</v>
      </c>
      <c r="H31" s="211" t="s">
        <v>207</v>
      </c>
      <c r="I31" s="211" t="s">
        <v>207</v>
      </c>
      <c r="J31" s="184" t="s">
        <v>51</v>
      </c>
      <c r="K31" s="186">
        <v>25</v>
      </c>
      <c r="L31" s="187">
        <v>6200</v>
      </c>
      <c r="M31" s="125">
        <f t="shared" si="0"/>
        <v>155000</v>
      </c>
      <c r="N31" s="125">
        <f t="shared" si="1"/>
        <v>15500</v>
      </c>
      <c r="O31" s="125">
        <f t="shared" si="2"/>
        <v>170500</v>
      </c>
      <c r="P31" s="129"/>
      <c r="Q31" s="124"/>
      <c r="R31" s="124"/>
    </row>
    <row r="32" spans="1:18" s="123" customFormat="1" ht="19.5" hidden="1" customHeight="1">
      <c r="A32" s="184">
        <v>18</v>
      </c>
      <c r="B32" s="211"/>
      <c r="C32" s="211"/>
      <c r="D32" s="211"/>
      <c r="E32" s="211"/>
      <c r="F32" s="211"/>
      <c r="G32" s="211"/>
      <c r="H32" s="211"/>
      <c r="I32" s="211"/>
      <c r="J32" s="184"/>
      <c r="K32" s="186"/>
      <c r="L32" s="187"/>
      <c r="M32" s="125">
        <f t="shared" si="0"/>
        <v>0</v>
      </c>
      <c r="N32" s="125">
        <f t="shared" si="1"/>
        <v>0</v>
      </c>
      <c r="O32" s="125">
        <f t="shared" si="2"/>
        <v>0</v>
      </c>
      <c r="P32" s="129"/>
      <c r="Q32" s="124"/>
      <c r="R32" s="124"/>
    </row>
    <row r="33" spans="1:18" s="123" customFormat="1" ht="19.5" hidden="1" customHeight="1">
      <c r="A33" s="184">
        <v>19</v>
      </c>
      <c r="B33" s="211"/>
      <c r="C33" s="211"/>
      <c r="D33" s="211"/>
      <c r="E33" s="211"/>
      <c r="F33" s="211"/>
      <c r="G33" s="211"/>
      <c r="H33" s="211"/>
      <c r="I33" s="211"/>
      <c r="J33" s="184"/>
      <c r="K33" s="186"/>
      <c r="L33" s="187"/>
      <c r="M33" s="125">
        <f t="shared" si="0"/>
        <v>0</v>
      </c>
      <c r="N33" s="125">
        <f t="shared" si="1"/>
        <v>0</v>
      </c>
      <c r="O33" s="125">
        <f t="shared" si="2"/>
        <v>0</v>
      </c>
      <c r="P33" s="129"/>
      <c r="Q33" s="124"/>
      <c r="R33" s="124"/>
    </row>
    <row r="34" spans="1:18" s="123" customFormat="1" ht="19.5" hidden="1" customHeight="1">
      <c r="A34" s="184">
        <v>20</v>
      </c>
      <c r="B34" s="211"/>
      <c r="C34" s="211"/>
      <c r="D34" s="211"/>
      <c r="E34" s="211"/>
      <c r="F34" s="211"/>
      <c r="G34" s="211"/>
      <c r="H34" s="211"/>
      <c r="I34" s="211"/>
      <c r="J34" s="184"/>
      <c r="K34" s="186"/>
      <c r="L34" s="187"/>
      <c r="M34" s="125">
        <f t="shared" si="0"/>
        <v>0</v>
      </c>
      <c r="N34" s="125">
        <f t="shared" si="1"/>
        <v>0</v>
      </c>
      <c r="O34" s="125">
        <f t="shared" si="2"/>
        <v>0</v>
      </c>
      <c r="P34" s="129"/>
      <c r="Q34" s="124"/>
      <c r="R34" s="124"/>
    </row>
    <row r="35" spans="1:18" s="123" customFormat="1" ht="19.5" hidden="1" customHeight="1">
      <c r="A35" s="184">
        <v>21</v>
      </c>
      <c r="B35" s="211"/>
      <c r="C35" s="211"/>
      <c r="D35" s="211"/>
      <c r="E35" s="211"/>
      <c r="F35" s="211"/>
      <c r="G35" s="211"/>
      <c r="H35" s="211"/>
      <c r="I35" s="211"/>
      <c r="J35" s="184"/>
      <c r="K35" s="186"/>
      <c r="L35" s="187"/>
      <c r="M35" s="125">
        <f t="shared" si="0"/>
        <v>0</v>
      </c>
      <c r="N35" s="125">
        <f t="shared" si="1"/>
        <v>0</v>
      </c>
      <c r="O35" s="125">
        <f t="shared" si="2"/>
        <v>0</v>
      </c>
      <c r="P35" s="129"/>
      <c r="Q35" s="124"/>
      <c r="R35" s="124"/>
    </row>
    <row r="36" spans="1:18" s="123" customFormat="1" ht="19.5" hidden="1" customHeight="1">
      <c r="A36" s="184">
        <v>22</v>
      </c>
      <c r="B36" s="211"/>
      <c r="C36" s="211"/>
      <c r="D36" s="211"/>
      <c r="E36" s="211"/>
      <c r="F36" s="211"/>
      <c r="G36" s="211"/>
      <c r="H36" s="211"/>
      <c r="I36" s="211"/>
      <c r="J36" s="184"/>
      <c r="K36" s="186"/>
      <c r="L36" s="187"/>
      <c r="M36" s="125">
        <f t="shared" si="0"/>
        <v>0</v>
      </c>
      <c r="N36" s="125">
        <f t="shared" si="1"/>
        <v>0</v>
      </c>
      <c r="O36" s="125">
        <f t="shared" si="2"/>
        <v>0</v>
      </c>
      <c r="P36" s="129"/>
      <c r="Q36" s="124"/>
      <c r="R36" s="124"/>
    </row>
    <row r="37" spans="1:18" s="123" customFormat="1" ht="19.5" hidden="1" customHeight="1">
      <c r="A37" s="184">
        <v>23</v>
      </c>
      <c r="B37" s="211"/>
      <c r="C37" s="211"/>
      <c r="D37" s="211"/>
      <c r="E37" s="211"/>
      <c r="F37" s="211"/>
      <c r="G37" s="211"/>
      <c r="H37" s="211"/>
      <c r="I37" s="211"/>
      <c r="J37" s="184"/>
      <c r="K37" s="186"/>
      <c r="L37" s="187"/>
      <c r="M37" s="125">
        <f t="shared" si="0"/>
        <v>0</v>
      </c>
      <c r="N37" s="125">
        <f t="shared" si="1"/>
        <v>0</v>
      </c>
      <c r="O37" s="125">
        <f t="shared" si="2"/>
        <v>0</v>
      </c>
      <c r="P37" s="129"/>
      <c r="Q37" s="124"/>
      <c r="R37" s="124"/>
    </row>
    <row r="38" spans="1:18" s="123" customFormat="1" ht="19.5" hidden="1" customHeight="1">
      <c r="A38" s="184">
        <v>24</v>
      </c>
      <c r="B38" s="211"/>
      <c r="C38" s="211"/>
      <c r="D38" s="211"/>
      <c r="E38" s="211"/>
      <c r="F38" s="211"/>
      <c r="G38" s="211"/>
      <c r="H38" s="211"/>
      <c r="I38" s="211"/>
      <c r="J38" s="184"/>
      <c r="K38" s="186"/>
      <c r="L38" s="187"/>
      <c r="M38" s="125">
        <f t="shared" si="0"/>
        <v>0</v>
      </c>
      <c r="N38" s="125">
        <f t="shared" si="1"/>
        <v>0</v>
      </c>
      <c r="O38" s="125">
        <f t="shared" si="2"/>
        <v>0</v>
      </c>
      <c r="P38" s="129"/>
      <c r="Q38" s="124"/>
      <c r="R38" s="124"/>
    </row>
    <row r="39" spans="1:18" s="123" customFormat="1" ht="19.5" hidden="1" customHeight="1">
      <c r="A39" s="184">
        <v>25</v>
      </c>
      <c r="B39" s="211"/>
      <c r="C39" s="211"/>
      <c r="D39" s="211"/>
      <c r="E39" s="211"/>
      <c r="F39" s="211"/>
      <c r="G39" s="211"/>
      <c r="H39" s="211"/>
      <c r="I39" s="211"/>
      <c r="J39" s="184"/>
      <c r="K39" s="186"/>
      <c r="L39" s="187"/>
      <c r="M39" s="125">
        <f t="shared" si="0"/>
        <v>0</v>
      </c>
      <c r="N39" s="125">
        <f t="shared" si="1"/>
        <v>0</v>
      </c>
      <c r="O39" s="125">
        <f t="shared" si="2"/>
        <v>0</v>
      </c>
      <c r="P39" s="129"/>
      <c r="Q39" s="124"/>
      <c r="R39" s="124"/>
    </row>
    <row r="40" spans="1:18" s="123" customFormat="1" ht="19.5" hidden="1" customHeight="1">
      <c r="A40" s="184">
        <v>26</v>
      </c>
      <c r="B40" s="211"/>
      <c r="C40" s="211"/>
      <c r="D40" s="211"/>
      <c r="E40" s="211"/>
      <c r="F40" s="211"/>
      <c r="G40" s="211"/>
      <c r="H40" s="211"/>
      <c r="I40" s="211"/>
      <c r="J40" s="184"/>
      <c r="K40" s="186"/>
      <c r="L40" s="187"/>
      <c r="M40" s="125">
        <f t="shared" si="0"/>
        <v>0</v>
      </c>
      <c r="N40" s="125">
        <f t="shared" si="1"/>
        <v>0</v>
      </c>
      <c r="O40" s="125">
        <f t="shared" si="2"/>
        <v>0</v>
      </c>
      <c r="P40" s="129"/>
      <c r="Q40" s="124"/>
      <c r="R40" s="124"/>
    </row>
    <row r="41" spans="1:18" s="123" customFormat="1" ht="19.5" hidden="1" customHeight="1">
      <c r="A41" s="184">
        <v>27</v>
      </c>
      <c r="B41" s="211"/>
      <c r="C41" s="211"/>
      <c r="D41" s="211"/>
      <c r="E41" s="211"/>
      <c r="F41" s="211"/>
      <c r="G41" s="211"/>
      <c r="H41" s="211"/>
      <c r="I41" s="211"/>
      <c r="J41" s="184"/>
      <c r="K41" s="186"/>
      <c r="L41" s="187"/>
      <c r="M41" s="125">
        <f t="shared" si="0"/>
        <v>0</v>
      </c>
      <c r="N41" s="125">
        <f t="shared" si="1"/>
        <v>0</v>
      </c>
      <c r="O41" s="125">
        <f t="shared" si="2"/>
        <v>0</v>
      </c>
      <c r="P41" s="129"/>
      <c r="Q41" s="124"/>
      <c r="R41" s="124"/>
    </row>
    <row r="42" spans="1:18" s="123" customFormat="1" ht="19.5" hidden="1" customHeight="1">
      <c r="A42" s="184">
        <v>28</v>
      </c>
      <c r="B42" s="211"/>
      <c r="C42" s="211"/>
      <c r="D42" s="211"/>
      <c r="E42" s="211"/>
      <c r="F42" s="211"/>
      <c r="G42" s="211"/>
      <c r="H42" s="211"/>
      <c r="I42" s="211"/>
      <c r="J42" s="184"/>
      <c r="K42" s="186"/>
      <c r="L42" s="187"/>
      <c r="M42" s="125">
        <f t="shared" si="0"/>
        <v>0</v>
      </c>
      <c r="N42" s="125">
        <f t="shared" si="1"/>
        <v>0</v>
      </c>
      <c r="O42" s="125">
        <f t="shared" si="2"/>
        <v>0</v>
      </c>
      <c r="P42" s="129"/>
      <c r="Q42" s="124"/>
      <c r="R42" s="124"/>
    </row>
    <row r="43" spans="1:18" s="123" customFormat="1" ht="19.5" hidden="1" customHeight="1">
      <c r="A43" s="184">
        <v>29</v>
      </c>
      <c r="B43" s="211"/>
      <c r="C43" s="211"/>
      <c r="D43" s="211"/>
      <c r="E43" s="211"/>
      <c r="F43" s="211"/>
      <c r="G43" s="211"/>
      <c r="H43" s="211"/>
      <c r="I43" s="211"/>
      <c r="J43" s="184"/>
      <c r="K43" s="186"/>
      <c r="L43" s="187"/>
      <c r="M43" s="125">
        <f t="shared" si="0"/>
        <v>0</v>
      </c>
      <c r="N43" s="125">
        <f t="shared" si="1"/>
        <v>0</v>
      </c>
      <c r="O43" s="125">
        <f t="shared" si="2"/>
        <v>0</v>
      </c>
      <c r="P43" s="129"/>
      <c r="Q43" s="124"/>
      <c r="R43" s="124"/>
    </row>
    <row r="44" spans="1:18" s="123" customFormat="1" ht="19.5" hidden="1" customHeight="1">
      <c r="A44" s="184">
        <v>30</v>
      </c>
      <c r="B44" s="211"/>
      <c r="C44" s="211"/>
      <c r="D44" s="211"/>
      <c r="E44" s="211"/>
      <c r="F44" s="211"/>
      <c r="G44" s="211"/>
      <c r="H44" s="211"/>
      <c r="I44" s="211"/>
      <c r="J44" s="184"/>
      <c r="K44" s="186"/>
      <c r="L44" s="187"/>
      <c r="M44" s="125">
        <f t="shared" si="0"/>
        <v>0</v>
      </c>
      <c r="N44" s="125">
        <f t="shared" si="1"/>
        <v>0</v>
      </c>
      <c r="O44" s="125">
        <f t="shared" si="2"/>
        <v>0</v>
      </c>
      <c r="P44" s="129"/>
      <c r="Q44" s="124"/>
      <c r="R44" s="124"/>
    </row>
    <row r="45" spans="1:18" s="123" customFormat="1" ht="19.5" hidden="1" customHeight="1">
      <c r="A45" s="184">
        <v>31</v>
      </c>
      <c r="B45" s="211"/>
      <c r="C45" s="211"/>
      <c r="D45" s="211"/>
      <c r="E45" s="211"/>
      <c r="F45" s="211"/>
      <c r="G45" s="211"/>
      <c r="H45" s="211"/>
      <c r="I45" s="211"/>
      <c r="J45" s="184"/>
      <c r="K45" s="186"/>
      <c r="L45" s="187"/>
      <c r="M45" s="125">
        <f t="shared" si="0"/>
        <v>0</v>
      </c>
      <c r="N45" s="125">
        <f t="shared" si="1"/>
        <v>0</v>
      </c>
      <c r="O45" s="125">
        <f t="shared" si="2"/>
        <v>0</v>
      </c>
      <c r="P45" s="129"/>
      <c r="Q45" s="124"/>
      <c r="R45" s="124"/>
    </row>
    <row r="46" spans="1:18" s="123" customFormat="1" ht="19.5" hidden="1" customHeight="1">
      <c r="A46" s="184">
        <v>32</v>
      </c>
      <c r="B46" s="211"/>
      <c r="C46" s="211"/>
      <c r="D46" s="211"/>
      <c r="E46" s="211"/>
      <c r="F46" s="211"/>
      <c r="G46" s="211"/>
      <c r="H46" s="211"/>
      <c r="I46" s="211"/>
      <c r="J46" s="184"/>
      <c r="K46" s="186"/>
      <c r="L46" s="187"/>
      <c r="M46" s="125">
        <f t="shared" si="0"/>
        <v>0</v>
      </c>
      <c r="N46" s="125">
        <f t="shared" si="1"/>
        <v>0</v>
      </c>
      <c r="O46" s="125">
        <f t="shared" si="2"/>
        <v>0</v>
      </c>
      <c r="P46" s="129"/>
      <c r="Q46" s="124"/>
      <c r="R46" s="124"/>
    </row>
    <row r="47" spans="1:18" s="123" customFormat="1" ht="19.5" hidden="1" customHeight="1">
      <c r="A47" s="184">
        <v>33</v>
      </c>
      <c r="B47" s="211"/>
      <c r="C47" s="211"/>
      <c r="D47" s="211"/>
      <c r="E47" s="211"/>
      <c r="F47" s="211"/>
      <c r="G47" s="211"/>
      <c r="H47" s="211"/>
      <c r="I47" s="211"/>
      <c r="J47" s="184"/>
      <c r="K47" s="186"/>
      <c r="L47" s="187"/>
      <c r="M47" s="125">
        <f t="shared" si="0"/>
        <v>0</v>
      </c>
      <c r="N47" s="125">
        <f t="shared" si="1"/>
        <v>0</v>
      </c>
      <c r="O47" s="125">
        <f t="shared" si="2"/>
        <v>0</v>
      </c>
      <c r="P47" s="129"/>
      <c r="Q47" s="124"/>
      <c r="R47" s="124"/>
    </row>
    <row r="48" spans="1:18" s="123" customFormat="1" ht="19.5" hidden="1" customHeight="1">
      <c r="A48" s="184">
        <v>34</v>
      </c>
      <c r="B48" s="211"/>
      <c r="C48" s="211"/>
      <c r="D48" s="211"/>
      <c r="E48" s="211"/>
      <c r="F48" s="211"/>
      <c r="G48" s="211"/>
      <c r="H48" s="211"/>
      <c r="I48" s="211"/>
      <c r="J48" s="184"/>
      <c r="K48" s="186"/>
      <c r="L48" s="187"/>
      <c r="M48" s="125">
        <f t="shared" si="0"/>
        <v>0</v>
      </c>
      <c r="N48" s="125">
        <f t="shared" si="1"/>
        <v>0</v>
      </c>
      <c r="O48" s="125">
        <f t="shared" si="2"/>
        <v>0</v>
      </c>
      <c r="P48" s="129"/>
      <c r="Q48" s="124"/>
      <c r="R48" s="124"/>
    </row>
    <row r="49" spans="1:18" s="123" customFormat="1" ht="19.5" hidden="1" customHeight="1">
      <c r="A49" s="184">
        <v>35</v>
      </c>
      <c r="B49" s="211"/>
      <c r="C49" s="211"/>
      <c r="D49" s="211"/>
      <c r="E49" s="211"/>
      <c r="F49" s="211"/>
      <c r="G49" s="211"/>
      <c r="H49" s="211"/>
      <c r="I49" s="211"/>
      <c r="J49" s="184"/>
      <c r="K49" s="186"/>
      <c r="L49" s="187"/>
      <c r="M49" s="125">
        <f t="shared" si="0"/>
        <v>0</v>
      </c>
      <c r="N49" s="125">
        <f t="shared" si="1"/>
        <v>0</v>
      </c>
      <c r="O49" s="125">
        <f t="shared" si="2"/>
        <v>0</v>
      </c>
      <c r="P49" s="129"/>
      <c r="Q49" s="124"/>
      <c r="R49" s="124"/>
    </row>
    <row r="50" spans="1:18" s="123" customFormat="1" ht="19.5" hidden="1" customHeight="1">
      <c r="A50" s="184">
        <v>36</v>
      </c>
      <c r="B50" s="211"/>
      <c r="C50" s="211"/>
      <c r="D50" s="211"/>
      <c r="E50" s="211"/>
      <c r="F50" s="211"/>
      <c r="G50" s="211"/>
      <c r="H50" s="211"/>
      <c r="I50" s="211"/>
      <c r="J50" s="184"/>
      <c r="K50" s="186"/>
      <c r="L50" s="187"/>
      <c r="M50" s="125">
        <f t="shared" si="0"/>
        <v>0</v>
      </c>
      <c r="N50" s="125">
        <f t="shared" si="1"/>
        <v>0</v>
      </c>
      <c r="O50" s="125">
        <f t="shared" si="2"/>
        <v>0</v>
      </c>
      <c r="P50" s="129"/>
      <c r="Q50" s="124"/>
      <c r="R50" s="124"/>
    </row>
    <row r="51" spans="1:18" s="123" customFormat="1" ht="19.5" hidden="1" customHeight="1">
      <c r="A51" s="184">
        <v>37</v>
      </c>
      <c r="B51" s="211"/>
      <c r="C51" s="211"/>
      <c r="D51" s="211"/>
      <c r="E51" s="211"/>
      <c r="F51" s="211"/>
      <c r="G51" s="211"/>
      <c r="H51" s="211"/>
      <c r="I51" s="211"/>
      <c r="J51" s="184"/>
      <c r="K51" s="186"/>
      <c r="L51" s="187"/>
      <c r="M51" s="125">
        <f t="shared" si="0"/>
        <v>0</v>
      </c>
      <c r="N51" s="125">
        <f t="shared" si="1"/>
        <v>0</v>
      </c>
      <c r="O51" s="125">
        <f t="shared" si="2"/>
        <v>0</v>
      </c>
      <c r="P51" s="129"/>
      <c r="Q51" s="124"/>
      <c r="R51" s="124"/>
    </row>
    <row r="52" spans="1:18" s="123" customFormat="1" ht="19.5" hidden="1" customHeight="1">
      <c r="A52" s="184">
        <v>38</v>
      </c>
      <c r="B52" s="211"/>
      <c r="C52" s="211"/>
      <c r="D52" s="211"/>
      <c r="E52" s="211"/>
      <c r="F52" s="211"/>
      <c r="G52" s="211"/>
      <c r="H52" s="211"/>
      <c r="I52" s="211"/>
      <c r="J52" s="184"/>
      <c r="K52" s="186"/>
      <c r="L52" s="187"/>
      <c r="M52" s="125">
        <f t="shared" si="0"/>
        <v>0</v>
      </c>
      <c r="N52" s="125">
        <f t="shared" si="1"/>
        <v>0</v>
      </c>
      <c r="O52" s="125">
        <f t="shared" si="2"/>
        <v>0</v>
      </c>
      <c r="P52" s="129"/>
      <c r="Q52" s="124"/>
      <c r="R52" s="124"/>
    </row>
    <row r="53" spans="1:18" s="123" customFormat="1" ht="19.5" hidden="1" customHeight="1">
      <c r="A53" s="184">
        <v>39</v>
      </c>
      <c r="B53" s="211"/>
      <c r="C53" s="211"/>
      <c r="D53" s="211"/>
      <c r="E53" s="211"/>
      <c r="F53" s="211"/>
      <c r="G53" s="211"/>
      <c r="H53" s="211"/>
      <c r="I53" s="211"/>
      <c r="J53" s="184"/>
      <c r="K53" s="186"/>
      <c r="L53" s="187"/>
      <c r="M53" s="125">
        <f t="shared" si="0"/>
        <v>0</v>
      </c>
      <c r="N53" s="125">
        <f t="shared" si="1"/>
        <v>0</v>
      </c>
      <c r="O53" s="125">
        <f t="shared" si="2"/>
        <v>0</v>
      </c>
      <c r="P53" s="129"/>
      <c r="Q53" s="124"/>
      <c r="R53" s="124"/>
    </row>
    <row r="54" spans="1:18" s="123" customFormat="1" ht="19.5" hidden="1" customHeight="1">
      <c r="A54" s="184">
        <v>40</v>
      </c>
      <c r="B54" s="211"/>
      <c r="C54" s="211"/>
      <c r="D54" s="211"/>
      <c r="E54" s="211"/>
      <c r="F54" s="211"/>
      <c r="G54" s="211"/>
      <c r="H54" s="211"/>
      <c r="I54" s="211"/>
      <c r="J54" s="184"/>
      <c r="K54" s="186"/>
      <c r="L54" s="187"/>
      <c r="M54" s="125">
        <f t="shared" si="0"/>
        <v>0</v>
      </c>
      <c r="N54" s="125">
        <f t="shared" si="1"/>
        <v>0</v>
      </c>
      <c r="O54" s="125">
        <f t="shared" si="2"/>
        <v>0</v>
      </c>
      <c r="P54" s="129"/>
      <c r="Q54" s="124"/>
      <c r="R54" s="124"/>
    </row>
    <row r="55" spans="1:18" s="123" customFormat="1" ht="19.5" hidden="1" customHeight="1">
      <c r="A55" s="184">
        <v>41</v>
      </c>
      <c r="B55" s="211"/>
      <c r="C55" s="211"/>
      <c r="D55" s="211"/>
      <c r="E55" s="211"/>
      <c r="F55" s="211"/>
      <c r="G55" s="211"/>
      <c r="H55" s="211"/>
      <c r="I55" s="211"/>
      <c r="J55" s="184"/>
      <c r="K55" s="186"/>
      <c r="L55" s="187"/>
      <c r="M55" s="125">
        <f t="shared" si="0"/>
        <v>0</v>
      </c>
      <c r="N55" s="125">
        <f t="shared" si="1"/>
        <v>0</v>
      </c>
      <c r="O55" s="125">
        <f t="shared" si="2"/>
        <v>0</v>
      </c>
      <c r="P55" s="129"/>
      <c r="Q55" s="124"/>
      <c r="R55" s="124"/>
    </row>
    <row r="56" spans="1:18" s="123" customFormat="1" ht="19.5" hidden="1" customHeight="1">
      <c r="A56" s="184">
        <v>42</v>
      </c>
      <c r="B56" s="211"/>
      <c r="C56" s="211"/>
      <c r="D56" s="211"/>
      <c r="E56" s="211"/>
      <c r="F56" s="211"/>
      <c r="G56" s="211"/>
      <c r="H56" s="211"/>
      <c r="I56" s="211"/>
      <c r="J56" s="184"/>
      <c r="K56" s="186"/>
      <c r="L56" s="187"/>
      <c r="M56" s="125">
        <f t="shared" si="0"/>
        <v>0</v>
      </c>
      <c r="N56" s="125">
        <f t="shared" si="1"/>
        <v>0</v>
      </c>
      <c r="O56" s="125">
        <f t="shared" si="2"/>
        <v>0</v>
      </c>
      <c r="P56" s="129"/>
      <c r="Q56" s="124"/>
      <c r="R56" s="124"/>
    </row>
    <row r="57" spans="1:18" s="123" customFormat="1" ht="19.5" hidden="1" customHeight="1">
      <c r="A57" s="184">
        <v>43</v>
      </c>
      <c r="B57" s="211"/>
      <c r="C57" s="211"/>
      <c r="D57" s="211"/>
      <c r="E57" s="211"/>
      <c r="F57" s="211"/>
      <c r="G57" s="211"/>
      <c r="H57" s="211"/>
      <c r="I57" s="211"/>
      <c r="J57" s="184"/>
      <c r="K57" s="186"/>
      <c r="L57" s="187"/>
      <c r="M57" s="125">
        <f t="shared" si="0"/>
        <v>0</v>
      </c>
      <c r="N57" s="125">
        <f t="shared" si="1"/>
        <v>0</v>
      </c>
      <c r="O57" s="125">
        <f t="shared" si="2"/>
        <v>0</v>
      </c>
      <c r="P57" s="129"/>
      <c r="Q57" s="124"/>
      <c r="R57" s="124"/>
    </row>
    <row r="58" spans="1:18" s="123" customFormat="1" ht="19.5" hidden="1" customHeight="1">
      <c r="A58" s="184">
        <v>44</v>
      </c>
      <c r="B58" s="211"/>
      <c r="C58" s="211"/>
      <c r="D58" s="211"/>
      <c r="E58" s="211"/>
      <c r="F58" s="211"/>
      <c r="G58" s="211"/>
      <c r="H58" s="211"/>
      <c r="I58" s="211"/>
      <c r="J58" s="184"/>
      <c r="K58" s="186"/>
      <c r="L58" s="187"/>
      <c r="M58" s="125">
        <f t="shared" si="0"/>
        <v>0</v>
      </c>
      <c r="N58" s="125">
        <f t="shared" si="1"/>
        <v>0</v>
      </c>
      <c r="O58" s="125">
        <f t="shared" si="2"/>
        <v>0</v>
      </c>
      <c r="P58" s="129"/>
      <c r="Q58" s="124"/>
      <c r="R58" s="124"/>
    </row>
    <row r="59" spans="1:18" s="123" customFormat="1" ht="19.5" hidden="1" customHeight="1">
      <c r="A59" s="184">
        <v>45</v>
      </c>
      <c r="B59" s="211"/>
      <c r="C59" s="211"/>
      <c r="D59" s="211"/>
      <c r="E59" s="211"/>
      <c r="F59" s="211"/>
      <c r="G59" s="211"/>
      <c r="H59" s="211"/>
      <c r="I59" s="211"/>
      <c r="J59" s="184"/>
      <c r="K59" s="186"/>
      <c r="L59" s="187"/>
      <c r="M59" s="125">
        <f t="shared" si="0"/>
        <v>0</v>
      </c>
      <c r="N59" s="125">
        <f t="shared" si="1"/>
        <v>0</v>
      </c>
      <c r="O59" s="125">
        <f t="shared" si="2"/>
        <v>0</v>
      </c>
      <c r="P59" s="129"/>
      <c r="Q59" s="124"/>
      <c r="R59" s="124"/>
    </row>
    <row r="60" spans="1:18" s="123" customFormat="1" ht="19.5" hidden="1" customHeight="1">
      <c r="A60" s="184">
        <v>46</v>
      </c>
      <c r="B60" s="211"/>
      <c r="C60" s="211"/>
      <c r="D60" s="211"/>
      <c r="E60" s="211"/>
      <c r="F60" s="211"/>
      <c r="G60" s="211"/>
      <c r="H60" s="211"/>
      <c r="I60" s="211"/>
      <c r="J60" s="184"/>
      <c r="K60" s="186"/>
      <c r="L60" s="187"/>
      <c r="M60" s="125">
        <f t="shared" si="0"/>
        <v>0</v>
      </c>
      <c r="N60" s="125">
        <f t="shared" si="1"/>
        <v>0</v>
      </c>
      <c r="O60" s="125">
        <f t="shared" si="2"/>
        <v>0</v>
      </c>
      <c r="P60" s="129"/>
      <c r="Q60" s="124"/>
      <c r="R60" s="124"/>
    </row>
    <row r="61" spans="1:18" s="123" customFormat="1" ht="19.5" hidden="1" customHeight="1">
      <c r="A61" s="184">
        <v>47</v>
      </c>
      <c r="B61" s="211"/>
      <c r="C61" s="211"/>
      <c r="D61" s="211"/>
      <c r="E61" s="211"/>
      <c r="F61" s="211"/>
      <c r="G61" s="211"/>
      <c r="H61" s="211"/>
      <c r="I61" s="211"/>
      <c r="J61" s="184"/>
      <c r="K61" s="186"/>
      <c r="L61" s="187"/>
      <c r="M61" s="125">
        <f t="shared" si="0"/>
        <v>0</v>
      </c>
      <c r="N61" s="125">
        <f t="shared" si="1"/>
        <v>0</v>
      </c>
      <c r="O61" s="125">
        <f t="shared" si="2"/>
        <v>0</v>
      </c>
      <c r="P61" s="129"/>
      <c r="Q61" s="124"/>
      <c r="R61" s="124"/>
    </row>
    <row r="62" spans="1:18" s="123" customFormat="1" ht="19.5" hidden="1" customHeight="1">
      <c r="A62" s="184">
        <v>48</v>
      </c>
      <c r="B62" s="211"/>
      <c r="C62" s="211"/>
      <c r="D62" s="211"/>
      <c r="E62" s="211"/>
      <c r="F62" s="211"/>
      <c r="G62" s="211"/>
      <c r="H62" s="211"/>
      <c r="I62" s="211"/>
      <c r="J62" s="184"/>
      <c r="K62" s="186"/>
      <c r="L62" s="187"/>
      <c r="M62" s="125">
        <f t="shared" si="0"/>
        <v>0</v>
      </c>
      <c r="N62" s="125">
        <f t="shared" si="1"/>
        <v>0</v>
      </c>
      <c r="O62" s="125">
        <f t="shared" si="2"/>
        <v>0</v>
      </c>
      <c r="P62" s="129"/>
      <c r="Q62" s="124"/>
      <c r="R62" s="124"/>
    </row>
    <row r="63" spans="1:18" s="123" customFormat="1" ht="19.5" hidden="1" customHeight="1">
      <c r="A63" s="184">
        <v>49</v>
      </c>
      <c r="B63" s="211"/>
      <c r="C63" s="211"/>
      <c r="D63" s="211"/>
      <c r="E63" s="211"/>
      <c r="F63" s="211"/>
      <c r="G63" s="211"/>
      <c r="H63" s="211"/>
      <c r="I63" s="211"/>
      <c r="J63" s="184"/>
      <c r="K63" s="186"/>
      <c r="L63" s="187"/>
      <c r="M63" s="125">
        <f t="shared" si="0"/>
        <v>0</v>
      </c>
      <c r="N63" s="125">
        <f t="shared" si="1"/>
        <v>0</v>
      </c>
      <c r="O63" s="125">
        <f t="shared" si="2"/>
        <v>0</v>
      </c>
      <c r="P63" s="129"/>
      <c r="Q63" s="124"/>
      <c r="R63" s="124"/>
    </row>
    <row r="64" spans="1:18" s="123" customFormat="1" ht="19.5" hidden="1" customHeight="1">
      <c r="A64" s="184">
        <v>50</v>
      </c>
      <c r="B64" s="211"/>
      <c r="C64" s="211"/>
      <c r="D64" s="211"/>
      <c r="E64" s="211"/>
      <c r="F64" s="211"/>
      <c r="G64" s="211"/>
      <c r="H64" s="211"/>
      <c r="I64" s="211"/>
      <c r="J64" s="184"/>
      <c r="K64" s="186"/>
      <c r="L64" s="187"/>
      <c r="M64" s="125">
        <f t="shared" si="0"/>
        <v>0</v>
      </c>
      <c r="N64" s="125">
        <f t="shared" si="1"/>
        <v>0</v>
      </c>
      <c r="O64" s="125">
        <f t="shared" si="2"/>
        <v>0</v>
      </c>
      <c r="P64" s="129"/>
      <c r="Q64" s="124"/>
      <c r="R64" s="124"/>
    </row>
    <row r="65" spans="1:18" s="123" customFormat="1" ht="19.5" hidden="1" customHeight="1">
      <c r="A65" s="184">
        <v>51</v>
      </c>
      <c r="B65" s="211"/>
      <c r="C65" s="211"/>
      <c r="D65" s="211"/>
      <c r="E65" s="211"/>
      <c r="F65" s="211"/>
      <c r="G65" s="211"/>
      <c r="H65" s="211"/>
      <c r="I65" s="211"/>
      <c r="J65" s="184"/>
      <c r="K65" s="186"/>
      <c r="L65" s="187"/>
      <c r="M65" s="125">
        <f t="shared" si="0"/>
        <v>0</v>
      </c>
      <c r="N65" s="125">
        <f t="shared" si="1"/>
        <v>0</v>
      </c>
      <c r="O65" s="125">
        <f t="shared" si="2"/>
        <v>0</v>
      </c>
      <c r="P65" s="129"/>
      <c r="Q65" s="124"/>
      <c r="R65" s="124"/>
    </row>
    <row r="66" spans="1:18" s="123" customFormat="1" ht="19.5" hidden="1" customHeight="1">
      <c r="A66" s="184">
        <v>52</v>
      </c>
      <c r="B66" s="211"/>
      <c r="C66" s="211"/>
      <c r="D66" s="211"/>
      <c r="E66" s="211"/>
      <c r="F66" s="211"/>
      <c r="G66" s="211"/>
      <c r="H66" s="211"/>
      <c r="I66" s="211"/>
      <c r="J66" s="184"/>
      <c r="K66" s="186"/>
      <c r="L66" s="187"/>
      <c r="M66" s="125">
        <f t="shared" si="0"/>
        <v>0</v>
      </c>
      <c r="N66" s="125">
        <f t="shared" si="1"/>
        <v>0</v>
      </c>
      <c r="O66" s="125">
        <f t="shared" si="2"/>
        <v>0</v>
      </c>
      <c r="P66" s="129"/>
      <c r="Q66" s="124"/>
      <c r="R66" s="124"/>
    </row>
    <row r="67" spans="1:18" s="123" customFormat="1" ht="19.5" hidden="1" customHeight="1">
      <c r="A67" s="184">
        <v>53</v>
      </c>
      <c r="B67" s="211"/>
      <c r="C67" s="211"/>
      <c r="D67" s="211"/>
      <c r="E67" s="211"/>
      <c r="F67" s="211"/>
      <c r="G67" s="211"/>
      <c r="H67" s="211"/>
      <c r="I67" s="211"/>
      <c r="J67" s="184"/>
      <c r="K67" s="186"/>
      <c r="L67" s="187"/>
      <c r="M67" s="125">
        <f t="shared" si="0"/>
        <v>0</v>
      </c>
      <c r="N67" s="125">
        <f t="shared" si="1"/>
        <v>0</v>
      </c>
      <c r="O67" s="125">
        <f t="shared" si="2"/>
        <v>0</v>
      </c>
      <c r="P67" s="129"/>
      <c r="Q67" s="124"/>
      <c r="R67" s="124"/>
    </row>
    <row r="68" spans="1:18" s="123" customFormat="1" ht="19.5" hidden="1" customHeight="1">
      <c r="A68" s="184">
        <v>54</v>
      </c>
      <c r="B68" s="211"/>
      <c r="C68" s="211"/>
      <c r="D68" s="211"/>
      <c r="E68" s="211"/>
      <c r="F68" s="211"/>
      <c r="G68" s="211"/>
      <c r="H68" s="211"/>
      <c r="I68" s="211"/>
      <c r="J68" s="184"/>
      <c r="K68" s="186"/>
      <c r="L68" s="187"/>
      <c r="M68" s="125">
        <f t="shared" si="0"/>
        <v>0</v>
      </c>
      <c r="N68" s="125">
        <f t="shared" si="1"/>
        <v>0</v>
      </c>
      <c r="O68" s="125">
        <f t="shared" si="2"/>
        <v>0</v>
      </c>
      <c r="P68" s="129"/>
      <c r="Q68" s="124"/>
      <c r="R68" s="124"/>
    </row>
    <row r="69" spans="1:18" s="123" customFormat="1" ht="19.5" hidden="1" customHeight="1">
      <c r="A69" s="184">
        <v>55</v>
      </c>
      <c r="B69" s="211"/>
      <c r="C69" s="211"/>
      <c r="D69" s="211"/>
      <c r="E69" s="211"/>
      <c r="F69" s="211"/>
      <c r="G69" s="211"/>
      <c r="H69" s="211"/>
      <c r="I69" s="211"/>
      <c r="J69" s="184"/>
      <c r="K69" s="186"/>
      <c r="L69" s="187"/>
      <c r="M69" s="125">
        <f t="shared" si="0"/>
        <v>0</v>
      </c>
      <c r="N69" s="125">
        <f t="shared" si="1"/>
        <v>0</v>
      </c>
      <c r="O69" s="125">
        <f t="shared" si="2"/>
        <v>0</v>
      </c>
      <c r="P69" s="129"/>
      <c r="Q69" s="124"/>
      <c r="R69" s="124"/>
    </row>
    <row r="70" spans="1:18" s="123" customFormat="1" ht="19.5" hidden="1" customHeight="1">
      <c r="A70" s="184">
        <v>56</v>
      </c>
      <c r="B70" s="211"/>
      <c r="C70" s="211"/>
      <c r="D70" s="211"/>
      <c r="E70" s="211"/>
      <c r="F70" s="211"/>
      <c r="G70" s="211"/>
      <c r="H70" s="211"/>
      <c r="I70" s="211"/>
      <c r="J70" s="184"/>
      <c r="K70" s="186"/>
      <c r="L70" s="187"/>
      <c r="M70" s="125">
        <f t="shared" si="0"/>
        <v>0</v>
      </c>
      <c r="N70" s="125">
        <f t="shared" si="1"/>
        <v>0</v>
      </c>
      <c r="O70" s="125">
        <f t="shared" si="2"/>
        <v>0</v>
      </c>
      <c r="P70" s="129"/>
      <c r="Q70" s="124"/>
      <c r="R70" s="124"/>
    </row>
    <row r="71" spans="1:18" s="123" customFormat="1" ht="19.5" hidden="1" customHeight="1">
      <c r="A71" s="184">
        <v>57</v>
      </c>
      <c r="B71" s="211"/>
      <c r="C71" s="211"/>
      <c r="D71" s="211"/>
      <c r="E71" s="211"/>
      <c r="F71" s="211"/>
      <c r="G71" s="211"/>
      <c r="H71" s="211"/>
      <c r="I71" s="211"/>
      <c r="J71" s="184"/>
      <c r="K71" s="186"/>
      <c r="L71" s="187"/>
      <c r="M71" s="125">
        <f t="shared" si="0"/>
        <v>0</v>
      </c>
      <c r="N71" s="125">
        <f t="shared" si="1"/>
        <v>0</v>
      </c>
      <c r="O71" s="125">
        <f t="shared" si="2"/>
        <v>0</v>
      </c>
      <c r="P71" s="129"/>
      <c r="Q71" s="124"/>
      <c r="R71" s="124"/>
    </row>
    <row r="72" spans="1:18" s="123" customFormat="1" ht="19.5" hidden="1" customHeight="1">
      <c r="A72" s="184">
        <v>58</v>
      </c>
      <c r="B72" s="211"/>
      <c r="C72" s="211"/>
      <c r="D72" s="211"/>
      <c r="E72" s="211"/>
      <c r="F72" s="211"/>
      <c r="G72" s="211"/>
      <c r="H72" s="211"/>
      <c r="I72" s="211"/>
      <c r="J72" s="184"/>
      <c r="K72" s="186"/>
      <c r="L72" s="187"/>
      <c r="M72" s="125">
        <f t="shared" si="0"/>
        <v>0</v>
      </c>
      <c r="N72" s="125">
        <f t="shared" si="1"/>
        <v>0</v>
      </c>
      <c r="O72" s="125">
        <f t="shared" si="2"/>
        <v>0</v>
      </c>
      <c r="P72" s="129"/>
      <c r="Q72" s="124"/>
      <c r="R72" s="124"/>
    </row>
    <row r="73" spans="1:18" s="123" customFormat="1" ht="19.5" hidden="1" customHeight="1">
      <c r="A73" s="184">
        <v>59</v>
      </c>
      <c r="B73" s="211"/>
      <c r="C73" s="211"/>
      <c r="D73" s="211"/>
      <c r="E73" s="211"/>
      <c r="F73" s="211"/>
      <c r="G73" s="211"/>
      <c r="H73" s="211"/>
      <c r="I73" s="211"/>
      <c r="J73" s="184"/>
      <c r="K73" s="186"/>
      <c r="L73" s="187"/>
      <c r="M73" s="125">
        <f t="shared" si="0"/>
        <v>0</v>
      </c>
      <c r="N73" s="125">
        <f t="shared" si="1"/>
        <v>0</v>
      </c>
      <c r="O73" s="125">
        <f t="shared" si="2"/>
        <v>0</v>
      </c>
      <c r="P73" s="129"/>
      <c r="Q73" s="124"/>
      <c r="R73" s="124"/>
    </row>
    <row r="74" spans="1:18" s="123" customFormat="1" ht="19.5" hidden="1" customHeight="1">
      <c r="A74" s="184">
        <v>60</v>
      </c>
      <c r="B74" s="211"/>
      <c r="C74" s="211"/>
      <c r="D74" s="211"/>
      <c r="E74" s="211"/>
      <c r="F74" s="211"/>
      <c r="G74" s="211"/>
      <c r="H74" s="211"/>
      <c r="I74" s="211"/>
      <c r="J74" s="184"/>
      <c r="K74" s="186"/>
      <c r="L74" s="187"/>
      <c r="M74" s="125">
        <f t="shared" si="0"/>
        <v>0</v>
      </c>
      <c r="N74" s="125">
        <f t="shared" si="1"/>
        <v>0</v>
      </c>
      <c r="O74" s="125">
        <f t="shared" si="2"/>
        <v>0</v>
      </c>
      <c r="P74" s="129"/>
      <c r="Q74" s="124"/>
      <c r="R74" s="124"/>
    </row>
    <row r="75" spans="1:18" s="123" customFormat="1" ht="19.5" hidden="1" customHeight="1">
      <c r="A75" s="184">
        <v>61</v>
      </c>
      <c r="B75" s="211"/>
      <c r="C75" s="211"/>
      <c r="D75" s="211"/>
      <c r="E75" s="211"/>
      <c r="F75" s="211"/>
      <c r="G75" s="211"/>
      <c r="H75" s="211"/>
      <c r="I75" s="211"/>
      <c r="J75" s="184"/>
      <c r="K75" s="186"/>
      <c r="L75" s="187"/>
      <c r="M75" s="125">
        <f t="shared" si="0"/>
        <v>0</v>
      </c>
      <c r="N75" s="125">
        <f t="shared" si="1"/>
        <v>0</v>
      </c>
      <c r="O75" s="125">
        <f t="shared" si="2"/>
        <v>0</v>
      </c>
      <c r="P75" s="129"/>
      <c r="Q75" s="124"/>
      <c r="R75" s="124"/>
    </row>
    <row r="76" spans="1:18" s="123" customFormat="1" ht="19.5" hidden="1" customHeight="1">
      <c r="A76" s="184">
        <v>62</v>
      </c>
      <c r="B76" s="211"/>
      <c r="C76" s="211"/>
      <c r="D76" s="211"/>
      <c r="E76" s="211"/>
      <c r="F76" s="211"/>
      <c r="G76" s="211"/>
      <c r="H76" s="211"/>
      <c r="I76" s="211"/>
      <c r="J76" s="184"/>
      <c r="K76" s="186"/>
      <c r="L76" s="187"/>
      <c r="M76" s="125">
        <f t="shared" si="0"/>
        <v>0</v>
      </c>
      <c r="N76" s="125">
        <f t="shared" si="1"/>
        <v>0</v>
      </c>
      <c r="O76" s="125">
        <f t="shared" si="2"/>
        <v>0</v>
      </c>
      <c r="P76" s="129"/>
      <c r="Q76" s="124"/>
      <c r="R76" s="124"/>
    </row>
    <row r="77" spans="1:18" s="123" customFormat="1" ht="19.5" hidden="1" customHeight="1">
      <c r="A77" s="184">
        <v>63</v>
      </c>
      <c r="B77" s="211"/>
      <c r="C77" s="211"/>
      <c r="D77" s="211"/>
      <c r="E77" s="211"/>
      <c r="F77" s="211"/>
      <c r="G77" s="211"/>
      <c r="H77" s="211"/>
      <c r="I77" s="211"/>
      <c r="J77" s="184"/>
      <c r="K77" s="186"/>
      <c r="L77" s="187"/>
      <c r="M77" s="125">
        <f t="shared" si="0"/>
        <v>0</v>
      </c>
      <c r="N77" s="125">
        <f t="shared" si="1"/>
        <v>0</v>
      </c>
      <c r="O77" s="125">
        <f t="shared" si="2"/>
        <v>0</v>
      </c>
      <c r="P77" s="129"/>
      <c r="Q77" s="124"/>
      <c r="R77" s="124"/>
    </row>
    <row r="78" spans="1:18" s="123" customFormat="1" ht="19.5" hidden="1" customHeight="1">
      <c r="A78" s="184">
        <v>64</v>
      </c>
      <c r="B78" s="211"/>
      <c r="C78" s="211"/>
      <c r="D78" s="211"/>
      <c r="E78" s="211"/>
      <c r="F78" s="211"/>
      <c r="G78" s="211"/>
      <c r="H78" s="211"/>
      <c r="I78" s="211"/>
      <c r="J78" s="184"/>
      <c r="K78" s="186"/>
      <c r="L78" s="187"/>
      <c r="M78" s="125">
        <f t="shared" si="0"/>
        <v>0</v>
      </c>
      <c r="N78" s="125">
        <f t="shared" si="1"/>
        <v>0</v>
      </c>
      <c r="O78" s="125">
        <f t="shared" si="2"/>
        <v>0</v>
      </c>
      <c r="P78" s="129"/>
      <c r="Q78" s="124"/>
      <c r="R78" s="124"/>
    </row>
    <row r="79" spans="1:18" s="123" customFormat="1" ht="19.5" hidden="1" customHeight="1">
      <c r="A79" s="184">
        <v>65</v>
      </c>
      <c r="B79" s="211"/>
      <c r="C79" s="211"/>
      <c r="D79" s="211"/>
      <c r="E79" s="211"/>
      <c r="F79" s="211"/>
      <c r="G79" s="211"/>
      <c r="H79" s="211"/>
      <c r="I79" s="211"/>
      <c r="J79" s="184"/>
      <c r="K79" s="186"/>
      <c r="L79" s="187"/>
      <c r="M79" s="125">
        <f t="shared" si="0"/>
        <v>0</v>
      </c>
      <c r="N79" s="125">
        <f t="shared" si="1"/>
        <v>0</v>
      </c>
      <c r="O79" s="125">
        <f t="shared" si="2"/>
        <v>0</v>
      </c>
      <c r="P79" s="129"/>
      <c r="Q79" s="124"/>
      <c r="R79" s="124"/>
    </row>
    <row r="80" spans="1:18" s="123" customFormat="1" ht="19.5" hidden="1" customHeight="1">
      <c r="A80" s="184">
        <v>66</v>
      </c>
      <c r="B80" s="211"/>
      <c r="C80" s="211"/>
      <c r="D80" s="211"/>
      <c r="E80" s="211"/>
      <c r="F80" s="211"/>
      <c r="G80" s="211"/>
      <c r="H80" s="211"/>
      <c r="I80" s="211"/>
      <c r="J80" s="184"/>
      <c r="K80" s="186"/>
      <c r="L80" s="187"/>
      <c r="M80" s="125">
        <f t="shared" ref="M80:M114" si="3">L80*K80</f>
        <v>0</v>
      </c>
      <c r="N80" s="125">
        <f t="shared" ref="N80:N114" si="4">M80*10%</f>
        <v>0</v>
      </c>
      <c r="O80" s="125">
        <f t="shared" ref="O80:O114" si="5">M80+N80</f>
        <v>0</v>
      </c>
      <c r="P80" s="129"/>
      <c r="Q80" s="124"/>
      <c r="R80" s="124"/>
    </row>
    <row r="81" spans="1:252" s="123" customFormat="1" ht="19.5" hidden="1" customHeight="1">
      <c r="A81" s="184">
        <v>67</v>
      </c>
      <c r="B81" s="211"/>
      <c r="C81" s="211"/>
      <c r="D81" s="211"/>
      <c r="E81" s="211"/>
      <c r="F81" s="211"/>
      <c r="G81" s="211"/>
      <c r="H81" s="211"/>
      <c r="I81" s="211"/>
      <c r="J81" s="184"/>
      <c r="K81" s="186"/>
      <c r="L81" s="187"/>
      <c r="M81" s="125">
        <f t="shared" si="3"/>
        <v>0</v>
      </c>
      <c r="N81" s="125">
        <f t="shared" si="4"/>
        <v>0</v>
      </c>
      <c r="O81" s="125">
        <f t="shared" si="5"/>
        <v>0</v>
      </c>
      <c r="P81" s="129"/>
      <c r="Q81" s="124"/>
      <c r="R81" s="124"/>
    </row>
    <row r="82" spans="1:252" s="123" customFormat="1" ht="19.5" hidden="1" customHeight="1">
      <c r="A82" s="184">
        <v>68</v>
      </c>
      <c r="B82" s="211"/>
      <c r="C82" s="211"/>
      <c r="D82" s="211"/>
      <c r="E82" s="211"/>
      <c r="F82" s="211"/>
      <c r="G82" s="211"/>
      <c r="H82" s="211"/>
      <c r="I82" s="211"/>
      <c r="J82" s="184"/>
      <c r="K82" s="186"/>
      <c r="L82" s="187"/>
      <c r="M82" s="125">
        <f t="shared" si="3"/>
        <v>0</v>
      </c>
      <c r="N82" s="125">
        <f t="shared" si="4"/>
        <v>0</v>
      </c>
      <c r="O82" s="125">
        <f t="shared" si="5"/>
        <v>0</v>
      </c>
      <c r="P82" s="129"/>
      <c r="Q82" s="124"/>
      <c r="R82" s="124"/>
    </row>
    <row r="83" spans="1:252" s="123" customFormat="1" ht="19.5" hidden="1" customHeight="1">
      <c r="A83" s="184">
        <v>69</v>
      </c>
      <c r="B83" s="211"/>
      <c r="C83" s="211"/>
      <c r="D83" s="211"/>
      <c r="E83" s="211"/>
      <c r="F83" s="211"/>
      <c r="G83" s="211"/>
      <c r="H83" s="211"/>
      <c r="I83" s="211"/>
      <c r="J83" s="184"/>
      <c r="K83" s="186"/>
      <c r="L83" s="187"/>
      <c r="M83" s="125">
        <f t="shared" si="3"/>
        <v>0</v>
      </c>
      <c r="N83" s="125">
        <f t="shared" si="4"/>
        <v>0</v>
      </c>
      <c r="O83" s="125">
        <f t="shared" si="5"/>
        <v>0</v>
      </c>
      <c r="P83" s="129"/>
      <c r="Q83" s="124"/>
      <c r="R83" s="124"/>
    </row>
    <row r="84" spans="1:252" ht="19.5" hidden="1" customHeight="1">
      <c r="A84" s="184">
        <v>70</v>
      </c>
      <c r="B84" s="211"/>
      <c r="C84" s="211"/>
      <c r="D84" s="211"/>
      <c r="E84" s="211"/>
      <c r="F84" s="211"/>
      <c r="G84" s="211"/>
      <c r="H84" s="211"/>
      <c r="I84" s="211"/>
      <c r="J84" s="184"/>
      <c r="K84" s="186"/>
      <c r="L84" s="187"/>
      <c r="M84" s="125">
        <f t="shared" si="3"/>
        <v>0</v>
      </c>
      <c r="N84" s="125">
        <f t="shared" si="4"/>
        <v>0</v>
      </c>
      <c r="O84" s="125">
        <f t="shared" si="5"/>
        <v>0</v>
      </c>
      <c r="P84" s="129"/>
      <c r="Q84" s="124"/>
      <c r="R84" s="124"/>
      <c r="S84" s="123"/>
      <c r="T84" s="123"/>
      <c r="U84" s="123"/>
      <c r="V84" s="123"/>
      <c r="W84" s="123"/>
      <c r="X84" s="123"/>
      <c r="Y84" s="123"/>
      <c r="Z84" s="123"/>
      <c r="AA84" s="123"/>
      <c r="AB84" s="123"/>
      <c r="AC84" s="123"/>
      <c r="AD84" s="123"/>
      <c r="AE84" s="123"/>
      <c r="AF84" s="123"/>
      <c r="AG84" s="123"/>
      <c r="AH84" s="123"/>
      <c r="AI84" s="123"/>
      <c r="AJ84" s="123"/>
      <c r="AK84" s="123"/>
      <c r="AL84" s="123"/>
      <c r="AM84" s="123"/>
      <c r="AN84" s="123"/>
      <c r="AO84" s="123"/>
      <c r="AP84" s="123"/>
      <c r="AQ84" s="123"/>
      <c r="AR84" s="123"/>
      <c r="AS84" s="123"/>
      <c r="AT84" s="123"/>
      <c r="AU84" s="123"/>
      <c r="AV84" s="123"/>
      <c r="AW84" s="123"/>
      <c r="AX84" s="123"/>
      <c r="AY84" s="123"/>
      <c r="AZ84" s="123"/>
      <c r="BA84" s="123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  <c r="HB84"/>
      <c r="HC84"/>
      <c r="HD84"/>
      <c r="HE84"/>
      <c r="HF84"/>
      <c r="HG84"/>
      <c r="HH84"/>
      <c r="HI84"/>
      <c r="HJ84"/>
      <c r="HK84"/>
      <c r="HL84"/>
      <c r="HM84"/>
      <c r="HN84"/>
      <c r="HO84"/>
      <c r="HP84"/>
      <c r="HQ84"/>
      <c r="HR84"/>
      <c r="HS84"/>
      <c r="HT84"/>
      <c r="HU84"/>
      <c r="HV84"/>
      <c r="HW84"/>
      <c r="HX84"/>
      <c r="HY84"/>
      <c r="HZ84"/>
      <c r="IA84"/>
      <c r="IB84"/>
      <c r="IC84"/>
      <c r="ID84"/>
      <c r="IE84"/>
      <c r="IF84"/>
      <c r="IG84"/>
      <c r="IH84"/>
      <c r="II84"/>
      <c r="IJ84"/>
      <c r="IK84"/>
      <c r="IL84"/>
      <c r="IM84"/>
      <c r="IN84"/>
      <c r="IO84"/>
      <c r="IP84"/>
      <c r="IQ84"/>
      <c r="IR84"/>
    </row>
    <row r="85" spans="1:252" ht="19.5" hidden="1" customHeight="1">
      <c r="A85" s="184">
        <v>71</v>
      </c>
      <c r="B85" s="211"/>
      <c r="C85" s="211"/>
      <c r="D85" s="211"/>
      <c r="E85" s="211"/>
      <c r="F85" s="211"/>
      <c r="G85" s="211"/>
      <c r="H85" s="211"/>
      <c r="I85" s="211"/>
      <c r="J85" s="184"/>
      <c r="K85" s="186"/>
      <c r="L85" s="187"/>
      <c r="M85" s="125">
        <f t="shared" si="3"/>
        <v>0</v>
      </c>
      <c r="N85" s="125">
        <f t="shared" si="4"/>
        <v>0</v>
      </c>
      <c r="O85" s="125">
        <f t="shared" si="5"/>
        <v>0</v>
      </c>
      <c r="P85" s="129"/>
      <c r="Q85" s="124"/>
      <c r="R85" s="124"/>
      <c r="S85" s="123"/>
      <c r="T85" s="123"/>
      <c r="U85" s="123"/>
      <c r="V85" s="123"/>
      <c r="W85" s="123"/>
      <c r="X85" s="123"/>
      <c r="Y85" s="123"/>
      <c r="Z85" s="123"/>
      <c r="AA85" s="123"/>
      <c r="AB85" s="123"/>
      <c r="AC85" s="123"/>
      <c r="AD85" s="123"/>
      <c r="AE85" s="123"/>
      <c r="AF85" s="123"/>
      <c r="AG85" s="123"/>
      <c r="AH85" s="123"/>
      <c r="AI85" s="123"/>
      <c r="AJ85" s="123"/>
      <c r="AK85" s="123"/>
      <c r="AL85" s="123"/>
      <c r="AM85" s="123"/>
      <c r="AN85" s="123"/>
      <c r="AO85" s="123"/>
      <c r="AP85" s="123"/>
      <c r="AQ85" s="123"/>
      <c r="AR85" s="123"/>
      <c r="AS85" s="123"/>
      <c r="AT85" s="123"/>
      <c r="AU85" s="123"/>
      <c r="AV85" s="123"/>
      <c r="AW85" s="123"/>
      <c r="AX85" s="123"/>
      <c r="AY85" s="123"/>
      <c r="AZ85" s="123"/>
      <c r="BA85" s="123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  <c r="HB85"/>
      <c r="HC85"/>
      <c r="HD85"/>
      <c r="HE85"/>
      <c r="HF85"/>
      <c r="HG85"/>
      <c r="HH85"/>
      <c r="HI85"/>
      <c r="HJ85"/>
      <c r="HK85"/>
      <c r="HL85"/>
      <c r="HM85"/>
      <c r="HN85"/>
      <c r="HO85"/>
      <c r="HP85"/>
      <c r="HQ85"/>
      <c r="HR85"/>
      <c r="HS85"/>
      <c r="HT85"/>
      <c r="HU85"/>
      <c r="HV85"/>
      <c r="HW85"/>
      <c r="HX85"/>
      <c r="HY85"/>
      <c r="HZ85"/>
      <c r="IA85"/>
      <c r="IB85"/>
      <c r="IC85"/>
      <c r="ID85"/>
      <c r="IE85"/>
      <c r="IF85"/>
      <c r="IG85"/>
      <c r="IH85"/>
      <c r="II85"/>
      <c r="IJ85"/>
      <c r="IK85"/>
      <c r="IL85"/>
      <c r="IM85"/>
      <c r="IN85"/>
      <c r="IO85"/>
      <c r="IP85"/>
      <c r="IQ85"/>
      <c r="IR85"/>
    </row>
    <row r="86" spans="1:252" ht="19.5" hidden="1" customHeight="1">
      <c r="A86" s="184">
        <v>72</v>
      </c>
      <c r="B86" s="211"/>
      <c r="C86" s="211"/>
      <c r="D86" s="211"/>
      <c r="E86" s="211"/>
      <c r="F86" s="211"/>
      <c r="G86" s="211"/>
      <c r="H86" s="211"/>
      <c r="I86" s="211"/>
      <c r="J86" s="184"/>
      <c r="K86" s="186"/>
      <c r="L86" s="187"/>
      <c r="M86" s="125">
        <f t="shared" si="3"/>
        <v>0</v>
      </c>
      <c r="N86" s="125">
        <f t="shared" si="4"/>
        <v>0</v>
      </c>
      <c r="O86" s="125">
        <f t="shared" si="5"/>
        <v>0</v>
      </c>
      <c r="P86" s="129"/>
      <c r="Q86" s="124"/>
      <c r="R86" s="124"/>
      <c r="S86" s="123"/>
      <c r="T86" s="123"/>
      <c r="U86" s="123"/>
      <c r="V86" s="123"/>
      <c r="W86" s="123"/>
      <c r="X86" s="123"/>
      <c r="Y86" s="123"/>
      <c r="Z86" s="123"/>
      <c r="AA86" s="123"/>
      <c r="AB86" s="123"/>
      <c r="AC86" s="123"/>
      <c r="AD86" s="123"/>
      <c r="AE86" s="123"/>
      <c r="AF86" s="123"/>
      <c r="AG86" s="123"/>
      <c r="AH86" s="123"/>
      <c r="AI86" s="123"/>
      <c r="AJ86" s="123"/>
      <c r="AK86" s="123"/>
      <c r="AL86" s="123"/>
      <c r="AM86" s="123"/>
      <c r="AN86" s="123"/>
      <c r="AO86" s="123"/>
      <c r="AP86" s="123"/>
      <c r="AQ86" s="123"/>
      <c r="AR86" s="123"/>
      <c r="AS86" s="123"/>
      <c r="AT86" s="123"/>
      <c r="AU86" s="123"/>
      <c r="AV86" s="123"/>
      <c r="AW86" s="123"/>
      <c r="AX86" s="123"/>
      <c r="AY86" s="123"/>
      <c r="AZ86" s="123"/>
      <c r="BA86" s="123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  <c r="HB86"/>
      <c r="HC86"/>
      <c r="HD86"/>
      <c r="HE86"/>
      <c r="HF86"/>
      <c r="HG86"/>
      <c r="HH86"/>
      <c r="HI86"/>
      <c r="HJ86"/>
      <c r="HK86"/>
      <c r="HL86"/>
      <c r="HM86"/>
      <c r="HN86"/>
      <c r="HO86"/>
      <c r="HP86"/>
      <c r="HQ86"/>
      <c r="HR86"/>
      <c r="HS86"/>
      <c r="HT86"/>
      <c r="HU86"/>
      <c r="HV86"/>
      <c r="HW86"/>
      <c r="HX86"/>
      <c r="HY86"/>
      <c r="HZ86"/>
      <c r="IA86"/>
      <c r="IB86"/>
      <c r="IC86"/>
      <c r="ID86"/>
      <c r="IE86"/>
      <c r="IF86"/>
      <c r="IG86"/>
      <c r="IH86"/>
      <c r="II86"/>
      <c r="IJ86"/>
      <c r="IK86"/>
      <c r="IL86"/>
      <c r="IM86"/>
      <c r="IN86"/>
      <c r="IO86"/>
      <c r="IP86"/>
      <c r="IQ86"/>
      <c r="IR86"/>
    </row>
    <row r="87" spans="1:252" ht="19.5" hidden="1" customHeight="1">
      <c r="A87" s="184">
        <v>73</v>
      </c>
      <c r="B87" s="211"/>
      <c r="C87" s="211"/>
      <c r="D87" s="211"/>
      <c r="E87" s="211"/>
      <c r="F87" s="211"/>
      <c r="G87" s="211"/>
      <c r="H87" s="211"/>
      <c r="I87" s="211"/>
      <c r="J87" s="184"/>
      <c r="K87" s="186"/>
      <c r="L87" s="187"/>
      <c r="M87" s="125">
        <f t="shared" si="3"/>
        <v>0</v>
      </c>
      <c r="N87" s="125">
        <f t="shared" si="4"/>
        <v>0</v>
      </c>
      <c r="O87" s="125">
        <f t="shared" si="5"/>
        <v>0</v>
      </c>
      <c r="P87" s="129"/>
      <c r="Q87" s="124"/>
      <c r="R87" s="124"/>
      <c r="S87" s="123"/>
      <c r="T87" s="123"/>
      <c r="U87" s="123"/>
      <c r="V87" s="123"/>
      <c r="W87" s="123"/>
      <c r="X87" s="123"/>
      <c r="Y87" s="123"/>
      <c r="Z87" s="123"/>
      <c r="AA87" s="123"/>
      <c r="AB87" s="123"/>
      <c r="AC87" s="123"/>
      <c r="AD87" s="123"/>
      <c r="AE87" s="123"/>
      <c r="AF87" s="123"/>
      <c r="AG87" s="123"/>
      <c r="AH87" s="123"/>
      <c r="AI87" s="123"/>
      <c r="AJ87" s="123"/>
      <c r="AK87" s="123"/>
      <c r="AL87" s="123"/>
      <c r="AM87" s="123"/>
      <c r="AN87" s="123"/>
      <c r="AO87" s="123"/>
      <c r="AP87" s="123"/>
      <c r="AQ87" s="123"/>
      <c r="AR87" s="123"/>
      <c r="AS87" s="123"/>
      <c r="AT87" s="123"/>
      <c r="AU87" s="123"/>
      <c r="AV87" s="123"/>
      <c r="AW87" s="123"/>
      <c r="AX87" s="123"/>
      <c r="AY87" s="123"/>
      <c r="AZ87" s="123"/>
      <c r="BA87" s="123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  <c r="HB87"/>
      <c r="HC87"/>
      <c r="HD87"/>
      <c r="HE87"/>
      <c r="HF87"/>
      <c r="HG87"/>
      <c r="HH87"/>
      <c r="HI87"/>
      <c r="HJ87"/>
      <c r="HK87"/>
      <c r="HL87"/>
      <c r="HM87"/>
      <c r="HN87"/>
      <c r="HO87"/>
      <c r="HP87"/>
      <c r="HQ87"/>
      <c r="HR87"/>
      <c r="HS87"/>
      <c r="HT87"/>
      <c r="HU87"/>
      <c r="HV87"/>
      <c r="HW87"/>
      <c r="HX87"/>
      <c r="HY87"/>
      <c r="HZ87"/>
      <c r="IA87"/>
      <c r="IB87"/>
      <c r="IC87"/>
      <c r="ID87"/>
      <c r="IE87"/>
      <c r="IF87"/>
      <c r="IG87"/>
      <c r="IH87"/>
      <c r="II87"/>
      <c r="IJ87"/>
      <c r="IK87"/>
      <c r="IL87"/>
      <c r="IM87"/>
      <c r="IN87"/>
      <c r="IO87"/>
      <c r="IP87"/>
      <c r="IQ87"/>
      <c r="IR87"/>
    </row>
    <row r="88" spans="1:252" ht="19.5" hidden="1" customHeight="1">
      <c r="A88" s="184">
        <v>74</v>
      </c>
      <c r="B88" s="211"/>
      <c r="C88" s="211"/>
      <c r="D88" s="211"/>
      <c r="E88" s="211"/>
      <c r="F88" s="211"/>
      <c r="G88" s="211"/>
      <c r="H88" s="211"/>
      <c r="I88" s="211"/>
      <c r="J88" s="184"/>
      <c r="K88" s="186"/>
      <c r="L88" s="187"/>
      <c r="M88" s="125">
        <f t="shared" si="3"/>
        <v>0</v>
      </c>
      <c r="N88" s="125">
        <f t="shared" si="4"/>
        <v>0</v>
      </c>
      <c r="O88" s="125">
        <f t="shared" si="5"/>
        <v>0</v>
      </c>
      <c r="P88" s="129"/>
      <c r="Q88" s="124"/>
      <c r="R88" s="124"/>
      <c r="S88" s="123"/>
      <c r="T88" s="123"/>
      <c r="U88" s="123"/>
      <c r="V88" s="123"/>
      <c r="W88" s="123"/>
      <c r="X88" s="123"/>
      <c r="Y88" s="123"/>
      <c r="Z88" s="123"/>
      <c r="AA88" s="123"/>
      <c r="AB88" s="123"/>
      <c r="AC88" s="123"/>
      <c r="AD88" s="123"/>
      <c r="AE88" s="123"/>
      <c r="AF88" s="123"/>
      <c r="AG88" s="123"/>
      <c r="AH88" s="123"/>
      <c r="AI88" s="123"/>
      <c r="AJ88" s="123"/>
      <c r="AK88" s="123"/>
      <c r="AL88" s="123"/>
      <c r="AM88" s="123"/>
      <c r="AN88" s="123"/>
      <c r="AO88" s="123"/>
      <c r="AP88" s="123"/>
      <c r="AQ88" s="123"/>
      <c r="AR88" s="123"/>
      <c r="AS88" s="123"/>
      <c r="AT88" s="123"/>
      <c r="AU88" s="123"/>
      <c r="AV88" s="123"/>
      <c r="AW88" s="123"/>
      <c r="AX88" s="123"/>
      <c r="AY88" s="123"/>
      <c r="AZ88" s="123"/>
      <c r="BA88" s="123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  <c r="HB88"/>
      <c r="HC88"/>
      <c r="HD88"/>
      <c r="HE88"/>
      <c r="HF88"/>
      <c r="HG88"/>
      <c r="HH88"/>
      <c r="HI88"/>
      <c r="HJ88"/>
      <c r="HK88"/>
      <c r="HL88"/>
      <c r="HM88"/>
      <c r="HN88"/>
      <c r="HO88"/>
      <c r="HP88"/>
      <c r="HQ88"/>
      <c r="HR88"/>
      <c r="HS88"/>
      <c r="HT88"/>
      <c r="HU88"/>
      <c r="HV88"/>
      <c r="HW88"/>
      <c r="HX88"/>
      <c r="HY88"/>
      <c r="HZ88"/>
      <c r="IA88"/>
      <c r="IB88"/>
      <c r="IC88"/>
      <c r="ID88"/>
      <c r="IE88"/>
      <c r="IF88"/>
      <c r="IG88"/>
      <c r="IH88"/>
      <c r="II88"/>
      <c r="IJ88"/>
      <c r="IK88"/>
      <c r="IL88"/>
      <c r="IM88"/>
      <c r="IN88"/>
      <c r="IO88"/>
      <c r="IP88"/>
      <c r="IQ88"/>
      <c r="IR88"/>
    </row>
    <row r="89" spans="1:252" hidden="1">
      <c r="A89" s="184">
        <v>75</v>
      </c>
      <c r="B89" s="211"/>
      <c r="C89" s="211"/>
      <c r="D89" s="211"/>
      <c r="E89" s="211"/>
      <c r="F89" s="211"/>
      <c r="G89" s="211"/>
      <c r="H89" s="211"/>
      <c r="I89" s="211"/>
      <c r="J89" s="184"/>
      <c r="K89" s="186"/>
      <c r="L89" s="187"/>
      <c r="M89" s="125">
        <f t="shared" si="3"/>
        <v>0</v>
      </c>
      <c r="N89" s="125">
        <f t="shared" si="4"/>
        <v>0</v>
      </c>
      <c r="O89" s="125">
        <f t="shared" si="5"/>
        <v>0</v>
      </c>
      <c r="P89" s="129"/>
      <c r="Q89" s="124"/>
      <c r="R89" s="124"/>
      <c r="S89" s="123"/>
      <c r="T89" s="123"/>
      <c r="U89" s="123"/>
      <c r="V89" s="123"/>
      <c r="W89" s="123"/>
      <c r="X89" s="123"/>
      <c r="Y89" s="123"/>
      <c r="Z89" s="123"/>
      <c r="AA89" s="123"/>
      <c r="AB89" s="123"/>
      <c r="AC89" s="123"/>
      <c r="AD89" s="123"/>
      <c r="AE89" s="123"/>
      <c r="AF89" s="123"/>
      <c r="AG89" s="123"/>
      <c r="AH89" s="123"/>
      <c r="AI89" s="123"/>
      <c r="AJ89" s="123"/>
      <c r="AK89" s="123"/>
      <c r="AL89" s="123"/>
      <c r="AM89" s="123"/>
      <c r="AN89" s="123"/>
      <c r="AO89" s="123"/>
      <c r="AP89" s="123"/>
      <c r="AQ89" s="123"/>
      <c r="AR89" s="123"/>
      <c r="AS89" s="123"/>
      <c r="AT89" s="123"/>
      <c r="AU89" s="123"/>
      <c r="AV89" s="123"/>
      <c r="AW89" s="123"/>
      <c r="AX89" s="123"/>
      <c r="AY89" s="123"/>
      <c r="AZ89" s="123"/>
      <c r="BA89" s="123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  <c r="HB89"/>
      <c r="HC89"/>
      <c r="HD89"/>
      <c r="HE89"/>
      <c r="HF89"/>
      <c r="HG89"/>
      <c r="HH89"/>
      <c r="HI89"/>
      <c r="HJ89"/>
      <c r="HK89"/>
      <c r="HL89"/>
      <c r="HM89"/>
      <c r="HN89"/>
      <c r="HO89"/>
      <c r="HP89"/>
      <c r="HQ89"/>
      <c r="HR89"/>
      <c r="HS89"/>
      <c r="HT89"/>
      <c r="HU89"/>
      <c r="HV89"/>
      <c r="HW89"/>
      <c r="HX89"/>
      <c r="HY89"/>
      <c r="HZ89"/>
      <c r="IA89"/>
      <c r="IB89"/>
      <c r="IC89"/>
      <c r="ID89"/>
      <c r="IE89"/>
      <c r="IF89"/>
      <c r="IG89"/>
      <c r="IH89"/>
      <c r="II89"/>
      <c r="IJ89"/>
      <c r="IK89"/>
      <c r="IL89"/>
      <c r="IM89"/>
      <c r="IN89"/>
      <c r="IO89"/>
      <c r="IP89"/>
      <c r="IQ89"/>
      <c r="IR89"/>
    </row>
    <row r="90" spans="1:252" hidden="1">
      <c r="A90" s="184">
        <v>76</v>
      </c>
      <c r="B90" s="211"/>
      <c r="C90" s="211"/>
      <c r="D90" s="211"/>
      <c r="E90" s="211"/>
      <c r="F90" s="211"/>
      <c r="G90" s="211"/>
      <c r="H90" s="211"/>
      <c r="I90" s="211"/>
      <c r="J90" s="184"/>
      <c r="K90" s="186"/>
      <c r="L90" s="187"/>
      <c r="M90" s="125">
        <f t="shared" si="3"/>
        <v>0</v>
      </c>
      <c r="N90" s="125">
        <f t="shared" si="4"/>
        <v>0</v>
      </c>
      <c r="O90" s="125">
        <f t="shared" si="5"/>
        <v>0</v>
      </c>
      <c r="P90" s="129"/>
      <c r="Q90" s="124"/>
      <c r="R90" s="124"/>
      <c r="S90" s="123"/>
      <c r="T90" s="123"/>
      <c r="U90" s="123"/>
      <c r="V90" s="123"/>
      <c r="W90" s="123"/>
      <c r="X90" s="123"/>
      <c r="Y90" s="123"/>
      <c r="Z90" s="123"/>
      <c r="AA90" s="123"/>
      <c r="AB90" s="123"/>
      <c r="AC90" s="123"/>
      <c r="AD90" s="123"/>
      <c r="AE90" s="123"/>
      <c r="AF90" s="123"/>
      <c r="AG90" s="123"/>
      <c r="AH90" s="123"/>
      <c r="AI90" s="123"/>
      <c r="AJ90" s="123"/>
      <c r="AK90" s="123"/>
      <c r="AL90" s="123"/>
      <c r="AM90" s="123"/>
      <c r="AN90" s="123"/>
      <c r="AO90" s="123"/>
      <c r="AP90" s="123"/>
      <c r="AQ90" s="123"/>
      <c r="AR90" s="123"/>
      <c r="AS90" s="123"/>
      <c r="AT90" s="123"/>
      <c r="AU90" s="123"/>
      <c r="AV90" s="123"/>
      <c r="AW90" s="123"/>
      <c r="AX90" s="123"/>
      <c r="AY90" s="123"/>
      <c r="AZ90" s="123"/>
      <c r="BA90" s="123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  <c r="HB90"/>
      <c r="HC90"/>
      <c r="HD90"/>
      <c r="HE90"/>
      <c r="HF90"/>
      <c r="HG90"/>
      <c r="HH90"/>
      <c r="HI90"/>
      <c r="HJ90"/>
      <c r="HK90"/>
      <c r="HL90"/>
      <c r="HM90"/>
      <c r="HN90"/>
      <c r="HO90"/>
      <c r="HP90"/>
      <c r="HQ90"/>
      <c r="HR90"/>
      <c r="HS90"/>
      <c r="HT90"/>
      <c r="HU90"/>
      <c r="HV90"/>
      <c r="HW90"/>
      <c r="HX90"/>
      <c r="HY90"/>
      <c r="HZ90"/>
      <c r="IA90"/>
      <c r="IB90"/>
      <c r="IC90"/>
      <c r="ID90"/>
      <c r="IE90"/>
      <c r="IF90"/>
      <c r="IG90"/>
      <c r="IH90"/>
      <c r="II90"/>
      <c r="IJ90"/>
      <c r="IK90"/>
      <c r="IL90"/>
      <c r="IM90"/>
      <c r="IN90"/>
      <c r="IO90"/>
      <c r="IP90"/>
      <c r="IQ90"/>
      <c r="IR90"/>
    </row>
    <row r="91" spans="1:252" hidden="1">
      <c r="A91" s="184">
        <v>77</v>
      </c>
      <c r="B91" s="211"/>
      <c r="C91" s="211"/>
      <c r="D91" s="211"/>
      <c r="E91" s="211"/>
      <c r="F91" s="211"/>
      <c r="G91" s="211"/>
      <c r="H91" s="211"/>
      <c r="I91" s="211"/>
      <c r="J91" s="184"/>
      <c r="K91" s="186"/>
      <c r="L91" s="187"/>
      <c r="M91" s="125">
        <f t="shared" si="3"/>
        <v>0</v>
      </c>
      <c r="N91" s="125">
        <f t="shared" si="4"/>
        <v>0</v>
      </c>
      <c r="O91" s="125">
        <f t="shared" si="5"/>
        <v>0</v>
      </c>
      <c r="P91" s="129"/>
      <c r="Q91" s="124"/>
      <c r="R91" s="124"/>
      <c r="S91" s="123"/>
      <c r="T91" s="123"/>
      <c r="U91" s="123"/>
      <c r="V91" s="123"/>
      <c r="W91" s="123"/>
      <c r="X91" s="123"/>
      <c r="Y91" s="123"/>
      <c r="Z91" s="123"/>
      <c r="AA91" s="123"/>
      <c r="AB91" s="123"/>
      <c r="AC91" s="123"/>
      <c r="AD91" s="123"/>
      <c r="AE91" s="123"/>
      <c r="AF91" s="123"/>
      <c r="AG91" s="123"/>
      <c r="AH91" s="123"/>
      <c r="AI91" s="123"/>
      <c r="AJ91" s="123"/>
      <c r="AK91" s="123"/>
      <c r="AL91" s="123"/>
      <c r="AM91" s="123"/>
      <c r="AN91" s="123"/>
      <c r="AO91" s="123"/>
      <c r="AP91" s="123"/>
      <c r="AQ91" s="123"/>
      <c r="AR91" s="123"/>
      <c r="AS91" s="123"/>
      <c r="AT91" s="123"/>
      <c r="AU91" s="123"/>
      <c r="AV91" s="123"/>
      <c r="AW91" s="123"/>
      <c r="AX91" s="123"/>
      <c r="AY91" s="123"/>
      <c r="AZ91" s="123"/>
      <c r="BA91" s="123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  <c r="HB91"/>
      <c r="HC91"/>
      <c r="HD91"/>
      <c r="HE91"/>
      <c r="HF91"/>
      <c r="HG91"/>
      <c r="HH91"/>
      <c r="HI91"/>
      <c r="HJ91"/>
      <c r="HK91"/>
      <c r="HL91"/>
      <c r="HM91"/>
      <c r="HN91"/>
      <c r="HO91"/>
      <c r="HP91"/>
      <c r="HQ91"/>
      <c r="HR91"/>
      <c r="HS91"/>
      <c r="HT91"/>
      <c r="HU91"/>
      <c r="HV91"/>
      <c r="HW91"/>
      <c r="HX91"/>
      <c r="HY91"/>
      <c r="HZ91"/>
      <c r="IA91"/>
      <c r="IB91"/>
      <c r="IC91"/>
      <c r="ID91"/>
      <c r="IE91"/>
      <c r="IF91"/>
      <c r="IG91"/>
      <c r="IH91"/>
      <c r="II91"/>
      <c r="IJ91"/>
      <c r="IK91"/>
      <c r="IL91"/>
      <c r="IM91"/>
      <c r="IN91"/>
      <c r="IO91"/>
      <c r="IP91"/>
      <c r="IQ91"/>
      <c r="IR91"/>
    </row>
    <row r="92" spans="1:252" hidden="1">
      <c r="A92" s="184">
        <v>78</v>
      </c>
      <c r="B92" s="211"/>
      <c r="C92" s="211"/>
      <c r="D92" s="211"/>
      <c r="E92" s="211"/>
      <c r="F92" s="211"/>
      <c r="G92" s="211"/>
      <c r="H92" s="211"/>
      <c r="I92" s="211"/>
      <c r="J92" s="184"/>
      <c r="K92" s="186"/>
      <c r="L92" s="187"/>
      <c r="M92" s="125">
        <f t="shared" si="3"/>
        <v>0</v>
      </c>
      <c r="N92" s="125">
        <f t="shared" si="4"/>
        <v>0</v>
      </c>
      <c r="O92" s="125">
        <f t="shared" si="5"/>
        <v>0</v>
      </c>
      <c r="P92" s="129"/>
      <c r="Q92" s="124"/>
      <c r="R92" s="124"/>
      <c r="S92" s="123"/>
      <c r="T92" s="123"/>
      <c r="U92" s="123"/>
      <c r="V92" s="123"/>
      <c r="W92" s="123"/>
      <c r="X92" s="123"/>
      <c r="Y92" s="123"/>
      <c r="Z92" s="123"/>
      <c r="AA92" s="123"/>
      <c r="AB92" s="123"/>
      <c r="AC92" s="123"/>
      <c r="AD92" s="123"/>
      <c r="AE92" s="123"/>
      <c r="AF92" s="123"/>
      <c r="AG92" s="123"/>
      <c r="AH92" s="123"/>
      <c r="AI92" s="123"/>
      <c r="AJ92" s="123"/>
      <c r="AK92" s="123"/>
      <c r="AL92" s="123"/>
      <c r="AM92" s="123"/>
      <c r="AN92" s="123"/>
      <c r="AO92" s="123"/>
      <c r="AP92" s="123"/>
      <c r="AQ92" s="123"/>
      <c r="AR92" s="123"/>
      <c r="AS92" s="123"/>
      <c r="AT92" s="123"/>
      <c r="AU92" s="123"/>
      <c r="AV92" s="123"/>
      <c r="AW92" s="123"/>
      <c r="AX92" s="123"/>
      <c r="AY92" s="123"/>
      <c r="AZ92" s="123"/>
      <c r="BA92" s="123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  <c r="HB92"/>
      <c r="HC92"/>
      <c r="HD92"/>
      <c r="HE92"/>
      <c r="HF92"/>
      <c r="HG92"/>
      <c r="HH92"/>
      <c r="HI92"/>
      <c r="HJ92"/>
      <c r="HK92"/>
      <c r="HL92"/>
      <c r="HM92"/>
      <c r="HN92"/>
      <c r="HO92"/>
      <c r="HP92"/>
      <c r="HQ92"/>
      <c r="HR92"/>
      <c r="HS92"/>
      <c r="HT92"/>
      <c r="HU92"/>
      <c r="HV92"/>
      <c r="HW92"/>
      <c r="HX92"/>
      <c r="HY92"/>
      <c r="HZ92"/>
      <c r="IA92"/>
      <c r="IB92"/>
      <c r="IC92"/>
      <c r="ID92"/>
      <c r="IE92"/>
      <c r="IF92"/>
      <c r="IG92"/>
      <c r="IH92"/>
      <c r="II92"/>
      <c r="IJ92"/>
      <c r="IK92"/>
      <c r="IL92"/>
      <c r="IM92"/>
      <c r="IN92"/>
      <c r="IO92"/>
      <c r="IP92"/>
      <c r="IQ92"/>
      <c r="IR92"/>
    </row>
    <row r="93" spans="1:252" hidden="1">
      <c r="A93" s="184">
        <v>79</v>
      </c>
      <c r="B93" s="211"/>
      <c r="C93" s="211"/>
      <c r="D93" s="211"/>
      <c r="E93" s="211"/>
      <c r="F93" s="211"/>
      <c r="G93" s="211"/>
      <c r="H93" s="211"/>
      <c r="I93" s="211"/>
      <c r="J93" s="184"/>
      <c r="K93" s="186"/>
      <c r="L93" s="187"/>
      <c r="M93" s="125">
        <f t="shared" si="3"/>
        <v>0</v>
      </c>
      <c r="N93" s="125">
        <f t="shared" si="4"/>
        <v>0</v>
      </c>
      <c r="O93" s="125">
        <f t="shared" si="5"/>
        <v>0</v>
      </c>
      <c r="P93" s="129"/>
      <c r="Q93" s="124"/>
      <c r="R93" s="124"/>
      <c r="S93" s="123"/>
      <c r="T93" s="123"/>
      <c r="U93" s="123"/>
      <c r="V93" s="123"/>
      <c r="W93" s="123"/>
      <c r="X93" s="123"/>
      <c r="Y93" s="123"/>
      <c r="Z93" s="123"/>
      <c r="AA93" s="123"/>
      <c r="AB93" s="123"/>
      <c r="AC93" s="123"/>
      <c r="AD93" s="123"/>
      <c r="AE93" s="123"/>
      <c r="AF93" s="123"/>
      <c r="AG93" s="123"/>
      <c r="AH93" s="123"/>
      <c r="AI93" s="123"/>
      <c r="AJ93" s="123"/>
      <c r="AK93" s="123"/>
      <c r="AL93" s="123"/>
      <c r="AM93" s="123"/>
      <c r="AN93" s="123"/>
      <c r="AO93" s="123"/>
      <c r="AP93" s="123"/>
      <c r="AQ93" s="123"/>
      <c r="AR93" s="123"/>
      <c r="AS93" s="123"/>
      <c r="AT93" s="123"/>
      <c r="AU93" s="123"/>
      <c r="AV93" s="123"/>
      <c r="AW93" s="123"/>
      <c r="AX93" s="123"/>
      <c r="AY93" s="123"/>
      <c r="AZ93" s="123"/>
      <c r="BA93" s="12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  <c r="HB93"/>
      <c r="HC93"/>
      <c r="HD93"/>
      <c r="HE93"/>
      <c r="HF93"/>
      <c r="HG93"/>
      <c r="HH93"/>
      <c r="HI93"/>
      <c r="HJ93"/>
      <c r="HK93"/>
      <c r="HL93"/>
      <c r="HM93"/>
      <c r="HN93"/>
      <c r="HO93"/>
      <c r="HP93"/>
      <c r="HQ93"/>
      <c r="HR93"/>
      <c r="HS93"/>
      <c r="HT93"/>
      <c r="HU93"/>
      <c r="HV93"/>
      <c r="HW93"/>
      <c r="HX93"/>
      <c r="HY93"/>
      <c r="HZ93"/>
      <c r="IA93"/>
      <c r="IB93"/>
      <c r="IC93"/>
      <c r="ID93"/>
      <c r="IE93"/>
      <c r="IF93"/>
      <c r="IG93"/>
      <c r="IH93"/>
      <c r="II93"/>
      <c r="IJ93"/>
      <c r="IK93"/>
      <c r="IL93"/>
      <c r="IM93"/>
      <c r="IN93"/>
      <c r="IO93"/>
      <c r="IP93"/>
      <c r="IQ93"/>
      <c r="IR93"/>
    </row>
    <row r="94" spans="1:252" hidden="1">
      <c r="A94" s="184">
        <v>80</v>
      </c>
      <c r="B94" s="211"/>
      <c r="C94" s="211"/>
      <c r="D94" s="211"/>
      <c r="E94" s="211"/>
      <c r="F94" s="211"/>
      <c r="G94" s="211"/>
      <c r="H94" s="211"/>
      <c r="I94" s="211"/>
      <c r="J94" s="184"/>
      <c r="K94" s="186"/>
      <c r="L94" s="187"/>
      <c r="M94" s="125">
        <f t="shared" si="3"/>
        <v>0</v>
      </c>
      <c r="N94" s="125">
        <f t="shared" si="4"/>
        <v>0</v>
      </c>
      <c r="O94" s="125">
        <f t="shared" si="5"/>
        <v>0</v>
      </c>
      <c r="P94" s="129"/>
      <c r="Q94" s="124"/>
      <c r="R94" s="124"/>
      <c r="S94" s="123"/>
      <c r="T94" s="123"/>
      <c r="U94" s="123"/>
      <c r="V94" s="123"/>
      <c r="W94" s="123"/>
      <c r="X94" s="123"/>
      <c r="Y94" s="123"/>
      <c r="Z94" s="123"/>
      <c r="AA94" s="123"/>
      <c r="AB94" s="123"/>
      <c r="AC94" s="123"/>
      <c r="AD94" s="123"/>
      <c r="AE94" s="123"/>
      <c r="AF94" s="123"/>
      <c r="AG94" s="123"/>
      <c r="AH94" s="123"/>
      <c r="AI94" s="123"/>
      <c r="AJ94" s="123"/>
      <c r="AK94" s="123"/>
      <c r="AL94" s="123"/>
      <c r="AM94" s="123"/>
      <c r="AN94" s="123"/>
      <c r="AO94" s="123"/>
      <c r="AP94" s="123"/>
      <c r="AQ94" s="123"/>
      <c r="AR94" s="123"/>
      <c r="AS94" s="123"/>
      <c r="AT94" s="123"/>
      <c r="AU94" s="123"/>
      <c r="AV94" s="123"/>
      <c r="AW94" s="123"/>
      <c r="AX94" s="123"/>
      <c r="AY94" s="123"/>
      <c r="AZ94" s="123"/>
      <c r="BA94" s="123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  <c r="HB94"/>
      <c r="HC94"/>
      <c r="HD94"/>
      <c r="HE94"/>
      <c r="HF94"/>
      <c r="HG94"/>
      <c r="HH94"/>
      <c r="HI94"/>
      <c r="HJ94"/>
      <c r="HK94"/>
      <c r="HL94"/>
      <c r="HM94"/>
      <c r="HN94"/>
      <c r="HO94"/>
      <c r="HP94"/>
      <c r="HQ94"/>
      <c r="HR94"/>
      <c r="HS94"/>
      <c r="HT94"/>
      <c r="HU94"/>
      <c r="HV94"/>
      <c r="HW94"/>
      <c r="HX94"/>
      <c r="HY94"/>
      <c r="HZ94"/>
      <c r="IA94"/>
      <c r="IB94"/>
      <c r="IC94"/>
      <c r="ID94"/>
      <c r="IE94"/>
      <c r="IF94"/>
      <c r="IG94"/>
      <c r="IH94"/>
      <c r="II94"/>
      <c r="IJ94"/>
      <c r="IK94"/>
      <c r="IL94"/>
      <c r="IM94"/>
      <c r="IN94"/>
      <c r="IO94"/>
      <c r="IP94"/>
      <c r="IQ94"/>
      <c r="IR94"/>
    </row>
    <row r="95" spans="1:252" hidden="1">
      <c r="A95" s="184">
        <v>81</v>
      </c>
      <c r="B95" s="211"/>
      <c r="C95" s="211"/>
      <c r="D95" s="211"/>
      <c r="E95" s="211"/>
      <c r="F95" s="211"/>
      <c r="G95" s="211"/>
      <c r="H95" s="211"/>
      <c r="I95" s="211"/>
      <c r="J95" s="184"/>
      <c r="K95" s="186"/>
      <c r="L95" s="187"/>
      <c r="M95" s="125">
        <f t="shared" si="3"/>
        <v>0</v>
      </c>
      <c r="N95" s="125">
        <f t="shared" si="4"/>
        <v>0</v>
      </c>
      <c r="O95" s="125">
        <f t="shared" si="5"/>
        <v>0</v>
      </c>
      <c r="P95" s="129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  <c r="HB95"/>
      <c r="HC95"/>
      <c r="HD95"/>
      <c r="HE95"/>
      <c r="HF95"/>
      <c r="HG95"/>
      <c r="HH95"/>
      <c r="HI95"/>
      <c r="HJ95"/>
      <c r="HK95"/>
      <c r="HL95"/>
      <c r="HM95"/>
      <c r="HN95"/>
      <c r="HO95"/>
      <c r="HP95"/>
      <c r="HQ95"/>
      <c r="HR95"/>
      <c r="HS95"/>
      <c r="HT95"/>
      <c r="HU95"/>
      <c r="HV95"/>
      <c r="HW95"/>
      <c r="HX95"/>
      <c r="HY95"/>
      <c r="HZ95"/>
      <c r="IA95"/>
      <c r="IB95"/>
      <c r="IC95"/>
      <c r="ID95"/>
      <c r="IE95"/>
      <c r="IF95"/>
      <c r="IG95"/>
      <c r="IH95"/>
      <c r="II95"/>
      <c r="IJ95"/>
      <c r="IK95"/>
      <c r="IL95"/>
      <c r="IM95"/>
      <c r="IN95"/>
      <c r="IO95"/>
      <c r="IP95"/>
      <c r="IQ95"/>
      <c r="IR95"/>
    </row>
    <row r="96" spans="1:252" hidden="1">
      <c r="A96" s="184">
        <v>82</v>
      </c>
      <c r="B96" s="211"/>
      <c r="C96" s="211"/>
      <c r="D96" s="211"/>
      <c r="E96" s="211"/>
      <c r="F96" s="211"/>
      <c r="G96" s="211"/>
      <c r="H96" s="211"/>
      <c r="I96" s="211"/>
      <c r="J96" s="184"/>
      <c r="K96" s="186"/>
      <c r="L96" s="187"/>
      <c r="M96" s="125">
        <f t="shared" si="3"/>
        <v>0</v>
      </c>
      <c r="N96" s="125">
        <f t="shared" si="4"/>
        <v>0</v>
      </c>
      <c r="O96" s="125">
        <f t="shared" si="5"/>
        <v>0</v>
      </c>
      <c r="P96" s="129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  <c r="HB96"/>
      <c r="HC96"/>
      <c r="HD96"/>
      <c r="HE96"/>
      <c r="HF96"/>
      <c r="HG96"/>
      <c r="HH96"/>
      <c r="HI96"/>
      <c r="HJ96"/>
      <c r="HK96"/>
      <c r="HL96"/>
      <c r="HM96"/>
      <c r="HN96"/>
      <c r="HO96"/>
      <c r="HP96"/>
      <c r="HQ96"/>
      <c r="HR96"/>
      <c r="HS96"/>
      <c r="HT96"/>
      <c r="HU96"/>
      <c r="HV96"/>
      <c r="HW96"/>
      <c r="HX96"/>
      <c r="HY96"/>
      <c r="HZ96"/>
      <c r="IA96"/>
      <c r="IB96"/>
      <c r="IC96"/>
      <c r="ID96"/>
      <c r="IE96"/>
      <c r="IF96"/>
      <c r="IG96"/>
      <c r="IH96"/>
      <c r="II96"/>
      <c r="IJ96"/>
      <c r="IK96"/>
      <c r="IL96"/>
      <c r="IM96"/>
      <c r="IN96"/>
      <c r="IO96"/>
      <c r="IP96"/>
      <c r="IQ96"/>
      <c r="IR96"/>
    </row>
    <row r="97" spans="1:252" hidden="1">
      <c r="A97" s="184">
        <v>83</v>
      </c>
      <c r="B97" s="211"/>
      <c r="C97" s="211"/>
      <c r="D97" s="211"/>
      <c r="E97" s="211"/>
      <c r="F97" s="211"/>
      <c r="G97" s="211"/>
      <c r="H97" s="211"/>
      <c r="I97" s="211"/>
      <c r="J97" s="184"/>
      <c r="K97" s="186"/>
      <c r="L97" s="187"/>
      <c r="M97" s="125">
        <f t="shared" si="3"/>
        <v>0</v>
      </c>
      <c r="N97" s="125">
        <f t="shared" si="4"/>
        <v>0</v>
      </c>
      <c r="O97" s="125">
        <f t="shared" si="5"/>
        <v>0</v>
      </c>
      <c r="P97" s="129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  <c r="HB97"/>
      <c r="HC97"/>
      <c r="HD97"/>
      <c r="HE97"/>
      <c r="HF97"/>
      <c r="HG97"/>
      <c r="HH97"/>
      <c r="HI97"/>
      <c r="HJ97"/>
      <c r="HK97"/>
      <c r="HL97"/>
      <c r="HM97"/>
      <c r="HN97"/>
      <c r="HO97"/>
      <c r="HP97"/>
      <c r="HQ97"/>
      <c r="HR97"/>
      <c r="HS97"/>
      <c r="HT97"/>
      <c r="HU97"/>
      <c r="HV97"/>
      <c r="HW97"/>
      <c r="HX97"/>
      <c r="HY97"/>
      <c r="HZ97"/>
      <c r="IA97"/>
      <c r="IB97"/>
      <c r="IC97"/>
      <c r="ID97"/>
      <c r="IE97"/>
      <c r="IF97"/>
      <c r="IG97"/>
      <c r="IH97"/>
      <c r="II97"/>
      <c r="IJ97"/>
      <c r="IK97"/>
      <c r="IL97"/>
      <c r="IM97"/>
      <c r="IN97"/>
      <c r="IO97"/>
      <c r="IP97"/>
      <c r="IQ97"/>
      <c r="IR97"/>
    </row>
    <row r="98" spans="1:252" hidden="1">
      <c r="A98" s="184">
        <v>84</v>
      </c>
      <c r="B98" s="211"/>
      <c r="C98" s="211"/>
      <c r="D98" s="211"/>
      <c r="E98" s="211"/>
      <c r="F98" s="211"/>
      <c r="G98" s="211"/>
      <c r="H98" s="211"/>
      <c r="I98" s="211"/>
      <c r="J98" s="184"/>
      <c r="K98" s="186"/>
      <c r="L98" s="187"/>
      <c r="M98" s="125">
        <f t="shared" si="3"/>
        <v>0</v>
      </c>
      <c r="N98" s="125">
        <f t="shared" si="4"/>
        <v>0</v>
      </c>
      <c r="O98" s="125">
        <f t="shared" si="5"/>
        <v>0</v>
      </c>
      <c r="P98" s="129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  <c r="HB98"/>
      <c r="HC98"/>
      <c r="HD98"/>
      <c r="HE98"/>
      <c r="HF98"/>
      <c r="HG98"/>
      <c r="HH98"/>
      <c r="HI98"/>
      <c r="HJ98"/>
      <c r="HK98"/>
      <c r="HL98"/>
      <c r="HM98"/>
      <c r="HN98"/>
      <c r="HO98"/>
      <c r="HP98"/>
      <c r="HQ98"/>
      <c r="HR98"/>
      <c r="HS98"/>
      <c r="HT98"/>
      <c r="HU98"/>
      <c r="HV98"/>
      <c r="HW98"/>
      <c r="HX98"/>
      <c r="HY98"/>
      <c r="HZ98"/>
      <c r="IA98"/>
      <c r="IB98"/>
      <c r="IC98"/>
      <c r="ID98"/>
      <c r="IE98"/>
      <c r="IF98"/>
      <c r="IG98"/>
      <c r="IH98"/>
      <c r="II98"/>
      <c r="IJ98"/>
      <c r="IK98"/>
      <c r="IL98"/>
      <c r="IM98"/>
      <c r="IN98"/>
      <c r="IO98"/>
      <c r="IP98"/>
      <c r="IQ98"/>
      <c r="IR98"/>
    </row>
    <row r="99" spans="1:252" hidden="1">
      <c r="A99" s="184">
        <v>85</v>
      </c>
      <c r="B99" s="211"/>
      <c r="C99" s="211"/>
      <c r="D99" s="211"/>
      <c r="E99" s="211"/>
      <c r="F99" s="211"/>
      <c r="G99" s="211"/>
      <c r="H99" s="211"/>
      <c r="I99" s="211"/>
      <c r="J99" s="184"/>
      <c r="K99" s="186"/>
      <c r="L99" s="187"/>
      <c r="M99" s="125">
        <f t="shared" si="3"/>
        <v>0</v>
      </c>
      <c r="N99" s="125">
        <f t="shared" si="4"/>
        <v>0</v>
      </c>
      <c r="O99" s="125">
        <f t="shared" si="5"/>
        <v>0</v>
      </c>
      <c r="P99" s="12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  <c r="HB99"/>
      <c r="HC99"/>
      <c r="HD99"/>
      <c r="HE99"/>
      <c r="HF99"/>
      <c r="HG99"/>
      <c r="HH99"/>
      <c r="HI99"/>
      <c r="HJ99"/>
      <c r="HK99"/>
      <c r="HL99"/>
      <c r="HM99"/>
      <c r="HN99"/>
      <c r="HO99"/>
      <c r="HP99"/>
      <c r="HQ99"/>
      <c r="HR99"/>
      <c r="HS99"/>
      <c r="HT99"/>
      <c r="HU99"/>
      <c r="HV99"/>
      <c r="HW99"/>
      <c r="HX99"/>
      <c r="HY99"/>
      <c r="HZ99"/>
      <c r="IA99"/>
      <c r="IB99"/>
      <c r="IC99"/>
      <c r="ID99"/>
      <c r="IE99"/>
      <c r="IF99"/>
      <c r="IG99"/>
      <c r="IH99"/>
      <c r="II99"/>
      <c r="IJ99"/>
      <c r="IK99"/>
      <c r="IL99"/>
      <c r="IM99"/>
      <c r="IN99"/>
      <c r="IO99"/>
      <c r="IP99"/>
      <c r="IQ99"/>
      <c r="IR99"/>
    </row>
    <row r="100" spans="1:252" s="123" customFormat="1" hidden="1">
      <c r="A100" s="184">
        <v>86</v>
      </c>
      <c r="B100" s="211"/>
      <c r="C100" s="211"/>
      <c r="D100" s="211"/>
      <c r="E100" s="211"/>
      <c r="F100" s="211"/>
      <c r="G100" s="211"/>
      <c r="H100" s="211"/>
      <c r="I100" s="211"/>
      <c r="J100" s="184"/>
      <c r="K100" s="186"/>
      <c r="L100" s="187"/>
      <c r="M100" s="125">
        <f t="shared" si="3"/>
        <v>0</v>
      </c>
      <c r="N100" s="125">
        <f t="shared" si="4"/>
        <v>0</v>
      </c>
      <c r="O100" s="125">
        <f t="shared" si="5"/>
        <v>0</v>
      </c>
      <c r="P100" s="129"/>
      <c r="Q100" s="124"/>
      <c r="R100" s="124"/>
    </row>
    <row r="101" spans="1:252" s="123" customFormat="1" hidden="1">
      <c r="A101" s="184">
        <v>87</v>
      </c>
      <c r="B101" s="211"/>
      <c r="C101" s="211"/>
      <c r="D101" s="211"/>
      <c r="E101" s="211"/>
      <c r="F101" s="211"/>
      <c r="G101" s="211"/>
      <c r="H101" s="211"/>
      <c r="I101" s="211"/>
      <c r="J101" s="184"/>
      <c r="K101" s="186"/>
      <c r="L101" s="187"/>
      <c r="M101" s="125">
        <f t="shared" si="3"/>
        <v>0</v>
      </c>
      <c r="N101" s="125">
        <f t="shared" si="4"/>
        <v>0</v>
      </c>
      <c r="O101" s="125">
        <f t="shared" si="5"/>
        <v>0</v>
      </c>
      <c r="P101" s="129"/>
      <c r="Q101" s="124"/>
      <c r="R101" s="124"/>
    </row>
    <row r="102" spans="1:252" s="123" customFormat="1" hidden="1">
      <c r="A102" s="184">
        <v>88</v>
      </c>
      <c r="B102" s="211"/>
      <c r="C102" s="211"/>
      <c r="D102" s="211"/>
      <c r="E102" s="211"/>
      <c r="F102" s="211"/>
      <c r="G102" s="211"/>
      <c r="H102" s="211"/>
      <c r="I102" s="211"/>
      <c r="J102" s="184"/>
      <c r="K102" s="186"/>
      <c r="L102" s="187"/>
      <c r="M102" s="125">
        <f t="shared" si="3"/>
        <v>0</v>
      </c>
      <c r="N102" s="125">
        <f t="shared" si="4"/>
        <v>0</v>
      </c>
      <c r="O102" s="125">
        <f t="shared" si="5"/>
        <v>0</v>
      </c>
      <c r="P102" s="129"/>
      <c r="Q102" s="124"/>
      <c r="R102" s="124"/>
    </row>
    <row r="103" spans="1:252" s="123" customFormat="1" hidden="1">
      <c r="A103" s="184">
        <v>89</v>
      </c>
      <c r="B103" s="211"/>
      <c r="C103" s="211"/>
      <c r="D103" s="211"/>
      <c r="E103" s="211"/>
      <c r="F103" s="211"/>
      <c r="G103" s="211"/>
      <c r="H103" s="211"/>
      <c r="I103" s="211"/>
      <c r="J103" s="184"/>
      <c r="K103" s="186"/>
      <c r="L103" s="187"/>
      <c r="M103" s="125">
        <f t="shared" si="3"/>
        <v>0</v>
      </c>
      <c r="N103" s="125">
        <f t="shared" si="4"/>
        <v>0</v>
      </c>
      <c r="O103" s="125">
        <f t="shared" si="5"/>
        <v>0</v>
      </c>
      <c r="P103" s="129"/>
      <c r="Q103" s="124"/>
      <c r="R103" s="124"/>
    </row>
    <row r="104" spans="1:252" s="123" customFormat="1" hidden="1">
      <c r="A104" s="184">
        <v>90</v>
      </c>
      <c r="B104" s="211"/>
      <c r="C104" s="211"/>
      <c r="D104" s="211"/>
      <c r="E104" s="211"/>
      <c r="F104" s="211"/>
      <c r="G104" s="211"/>
      <c r="H104" s="211"/>
      <c r="I104" s="211"/>
      <c r="J104" s="184"/>
      <c r="K104" s="186"/>
      <c r="L104" s="187"/>
      <c r="M104" s="125">
        <f t="shared" si="3"/>
        <v>0</v>
      </c>
      <c r="N104" s="125">
        <f t="shared" si="4"/>
        <v>0</v>
      </c>
      <c r="O104" s="125">
        <f t="shared" si="5"/>
        <v>0</v>
      </c>
      <c r="P104" s="129"/>
      <c r="Q104" s="124"/>
      <c r="R104" s="124"/>
    </row>
    <row r="105" spans="1:252" s="123" customFormat="1" hidden="1">
      <c r="A105" s="184">
        <v>91</v>
      </c>
      <c r="B105" s="211"/>
      <c r="C105" s="211"/>
      <c r="D105" s="211"/>
      <c r="E105" s="211"/>
      <c r="F105" s="211"/>
      <c r="G105" s="211"/>
      <c r="H105" s="211"/>
      <c r="I105" s="211"/>
      <c r="J105" s="184"/>
      <c r="K105" s="186"/>
      <c r="L105" s="187"/>
      <c r="M105" s="125">
        <f t="shared" si="3"/>
        <v>0</v>
      </c>
      <c r="N105" s="125">
        <f t="shared" si="4"/>
        <v>0</v>
      </c>
      <c r="O105" s="125">
        <f t="shared" si="5"/>
        <v>0</v>
      </c>
      <c r="P105" s="129"/>
      <c r="Q105" s="124"/>
      <c r="R105" s="124"/>
    </row>
    <row r="106" spans="1:252" s="123" customFormat="1" hidden="1">
      <c r="A106" s="184">
        <v>92</v>
      </c>
      <c r="B106" s="211"/>
      <c r="C106" s="211"/>
      <c r="D106" s="211"/>
      <c r="E106" s="211"/>
      <c r="F106" s="211"/>
      <c r="G106" s="211"/>
      <c r="H106" s="211"/>
      <c r="I106" s="211"/>
      <c r="J106" s="184"/>
      <c r="K106" s="186"/>
      <c r="L106" s="187"/>
      <c r="M106" s="125">
        <f t="shared" si="3"/>
        <v>0</v>
      </c>
      <c r="N106" s="125">
        <f t="shared" si="4"/>
        <v>0</v>
      </c>
      <c r="O106" s="125">
        <f t="shared" si="5"/>
        <v>0</v>
      </c>
      <c r="P106" s="129"/>
      <c r="Q106" s="124"/>
      <c r="R106" s="124"/>
    </row>
    <row r="107" spans="1:252" s="123" customFormat="1" hidden="1">
      <c r="A107" s="184">
        <v>93</v>
      </c>
      <c r="B107" s="211"/>
      <c r="C107" s="211"/>
      <c r="D107" s="211"/>
      <c r="E107" s="211"/>
      <c r="F107" s="211"/>
      <c r="G107" s="211"/>
      <c r="H107" s="211"/>
      <c r="I107" s="211"/>
      <c r="J107" s="184"/>
      <c r="K107" s="186"/>
      <c r="L107" s="187"/>
      <c r="M107" s="125">
        <f t="shared" si="3"/>
        <v>0</v>
      </c>
      <c r="N107" s="125">
        <f t="shared" si="4"/>
        <v>0</v>
      </c>
      <c r="O107" s="125">
        <f t="shared" si="5"/>
        <v>0</v>
      </c>
      <c r="P107" s="129"/>
      <c r="Q107" s="124"/>
      <c r="R107" s="124"/>
    </row>
    <row r="108" spans="1:252" s="123" customFormat="1" hidden="1">
      <c r="A108" s="184">
        <v>94</v>
      </c>
      <c r="B108" s="211"/>
      <c r="C108" s="211"/>
      <c r="D108" s="211"/>
      <c r="E108" s="211"/>
      <c r="F108" s="211"/>
      <c r="G108" s="211"/>
      <c r="H108" s="211"/>
      <c r="I108" s="211"/>
      <c r="J108" s="184"/>
      <c r="K108" s="186"/>
      <c r="L108" s="187"/>
      <c r="M108" s="125">
        <f t="shared" si="3"/>
        <v>0</v>
      </c>
      <c r="N108" s="125">
        <f t="shared" si="4"/>
        <v>0</v>
      </c>
      <c r="O108" s="125">
        <f t="shared" si="5"/>
        <v>0</v>
      </c>
      <c r="P108" s="129"/>
      <c r="Q108" s="124"/>
      <c r="R108" s="124"/>
    </row>
    <row r="109" spans="1:252" s="123" customFormat="1" hidden="1">
      <c r="A109" s="184">
        <v>95</v>
      </c>
      <c r="B109" s="211"/>
      <c r="C109" s="211"/>
      <c r="D109" s="211"/>
      <c r="E109" s="211"/>
      <c r="F109" s="211"/>
      <c r="G109" s="211"/>
      <c r="H109" s="211"/>
      <c r="I109" s="211"/>
      <c r="J109" s="184"/>
      <c r="K109" s="186"/>
      <c r="L109" s="187"/>
      <c r="M109" s="125">
        <f t="shared" si="3"/>
        <v>0</v>
      </c>
      <c r="N109" s="125">
        <f t="shared" si="4"/>
        <v>0</v>
      </c>
      <c r="O109" s="125">
        <f t="shared" si="5"/>
        <v>0</v>
      </c>
      <c r="P109" s="129"/>
      <c r="Q109" s="124"/>
      <c r="R109" s="124"/>
    </row>
    <row r="110" spans="1:252" s="123" customFormat="1" hidden="1">
      <c r="A110" s="184">
        <v>96</v>
      </c>
      <c r="B110" s="211"/>
      <c r="C110" s="211"/>
      <c r="D110" s="211"/>
      <c r="E110" s="211"/>
      <c r="F110" s="211"/>
      <c r="G110" s="211"/>
      <c r="H110" s="211"/>
      <c r="I110" s="211"/>
      <c r="J110" s="184"/>
      <c r="K110" s="186"/>
      <c r="L110" s="187"/>
      <c r="M110" s="125">
        <f t="shared" si="3"/>
        <v>0</v>
      </c>
      <c r="N110" s="125">
        <f t="shared" si="4"/>
        <v>0</v>
      </c>
      <c r="O110" s="125">
        <f t="shared" si="5"/>
        <v>0</v>
      </c>
      <c r="P110" s="129"/>
      <c r="Q110" s="124"/>
      <c r="R110" s="124"/>
    </row>
    <row r="111" spans="1:252" hidden="1">
      <c r="A111" s="184">
        <v>97</v>
      </c>
      <c r="B111" s="211"/>
      <c r="C111" s="211"/>
      <c r="D111" s="211"/>
      <c r="E111" s="211"/>
      <c r="F111" s="211"/>
      <c r="G111" s="211"/>
      <c r="H111" s="211"/>
      <c r="I111" s="211"/>
      <c r="J111" s="184"/>
      <c r="K111" s="186"/>
      <c r="L111" s="187"/>
      <c r="M111" s="125">
        <f t="shared" si="3"/>
        <v>0</v>
      </c>
      <c r="N111" s="125">
        <f t="shared" si="4"/>
        <v>0</v>
      </c>
      <c r="O111" s="125">
        <f t="shared" si="5"/>
        <v>0</v>
      </c>
      <c r="P111" s="129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  <c r="HB111"/>
      <c r="HC111"/>
      <c r="HD111"/>
      <c r="HE111"/>
      <c r="HF111"/>
      <c r="HG111"/>
      <c r="HH111"/>
      <c r="HI111"/>
      <c r="HJ111"/>
      <c r="HK111"/>
      <c r="HL111"/>
      <c r="HM111"/>
      <c r="HN111"/>
      <c r="HO111"/>
      <c r="HP111"/>
      <c r="HQ111"/>
      <c r="HR111"/>
      <c r="HS111"/>
      <c r="HT111"/>
      <c r="HU111"/>
      <c r="HV111"/>
      <c r="HW111"/>
      <c r="HX111"/>
      <c r="HY111"/>
      <c r="HZ111"/>
      <c r="IA111"/>
      <c r="IB111"/>
      <c r="IC111"/>
      <c r="ID111"/>
      <c r="IE111"/>
      <c r="IF111"/>
      <c r="IG111"/>
      <c r="IH111"/>
      <c r="II111"/>
      <c r="IJ111"/>
      <c r="IK111"/>
      <c r="IL111"/>
      <c r="IM111"/>
      <c r="IN111"/>
      <c r="IO111"/>
      <c r="IP111"/>
      <c r="IQ111"/>
      <c r="IR111"/>
    </row>
    <row r="112" spans="1:252" hidden="1">
      <c r="A112" s="184">
        <v>98</v>
      </c>
      <c r="B112" s="211"/>
      <c r="C112" s="211"/>
      <c r="D112" s="211"/>
      <c r="E112" s="211"/>
      <c r="F112" s="211"/>
      <c r="G112" s="211"/>
      <c r="H112" s="211"/>
      <c r="I112" s="211"/>
      <c r="J112" s="184"/>
      <c r="K112" s="186"/>
      <c r="L112" s="187"/>
      <c r="M112" s="125">
        <f t="shared" si="3"/>
        <v>0</v>
      </c>
      <c r="N112" s="125">
        <f t="shared" si="4"/>
        <v>0</v>
      </c>
      <c r="O112" s="125">
        <f t="shared" si="5"/>
        <v>0</v>
      </c>
      <c r="P112" s="129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  <c r="HB112"/>
      <c r="HC112"/>
      <c r="HD112"/>
      <c r="HE112"/>
      <c r="HF112"/>
      <c r="HG112"/>
      <c r="HH112"/>
      <c r="HI112"/>
      <c r="HJ112"/>
      <c r="HK112"/>
      <c r="HL112"/>
      <c r="HM112"/>
      <c r="HN112"/>
      <c r="HO112"/>
      <c r="HP112"/>
      <c r="HQ112"/>
      <c r="HR112"/>
      <c r="HS112"/>
      <c r="HT112"/>
      <c r="HU112"/>
      <c r="HV112"/>
      <c r="HW112"/>
      <c r="HX112"/>
      <c r="HY112"/>
      <c r="HZ112"/>
      <c r="IA112"/>
      <c r="IB112"/>
      <c r="IC112"/>
      <c r="ID112"/>
      <c r="IE112"/>
      <c r="IF112"/>
      <c r="IG112"/>
      <c r="IH112"/>
      <c r="II112"/>
      <c r="IJ112"/>
      <c r="IK112"/>
      <c r="IL112"/>
      <c r="IM112"/>
      <c r="IN112"/>
      <c r="IO112"/>
      <c r="IP112"/>
      <c r="IQ112"/>
      <c r="IR112"/>
    </row>
    <row r="113" spans="1:253" hidden="1">
      <c r="A113" s="184">
        <v>99</v>
      </c>
      <c r="B113" s="211"/>
      <c r="C113" s="211"/>
      <c r="D113" s="211"/>
      <c r="E113" s="211"/>
      <c r="F113" s="211"/>
      <c r="G113" s="211"/>
      <c r="H113" s="211"/>
      <c r="I113" s="211"/>
      <c r="J113" s="188"/>
      <c r="K113" s="189"/>
      <c r="L113" s="187"/>
      <c r="M113" s="125">
        <f t="shared" si="3"/>
        <v>0</v>
      </c>
      <c r="N113" s="125">
        <f t="shared" si="4"/>
        <v>0</v>
      </c>
      <c r="O113" s="125">
        <f t="shared" si="5"/>
        <v>0</v>
      </c>
      <c r="P113" s="129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  <c r="HB113"/>
      <c r="HC113"/>
      <c r="HD113"/>
      <c r="HE113"/>
      <c r="HF113"/>
      <c r="HG113"/>
      <c r="HH113"/>
      <c r="HI113"/>
      <c r="HJ113"/>
      <c r="HK113"/>
      <c r="HL113"/>
      <c r="HM113"/>
      <c r="HN113"/>
      <c r="HO113"/>
      <c r="HP113"/>
      <c r="HQ113"/>
      <c r="HR113"/>
      <c r="HS113"/>
      <c r="HT113"/>
      <c r="HU113"/>
      <c r="HV113"/>
      <c r="HW113"/>
      <c r="HX113"/>
      <c r="HY113"/>
      <c r="HZ113"/>
      <c r="IA113"/>
      <c r="IB113"/>
      <c r="IC113"/>
      <c r="ID113"/>
      <c r="IE113"/>
      <c r="IF113"/>
      <c r="IG113"/>
      <c r="IH113"/>
      <c r="II113"/>
      <c r="IJ113"/>
      <c r="IK113"/>
      <c r="IL113"/>
      <c r="IM113"/>
      <c r="IN113"/>
      <c r="IO113"/>
      <c r="IP113"/>
      <c r="IQ113"/>
      <c r="IR113"/>
    </row>
    <row r="114" spans="1:253" hidden="1">
      <c r="A114" s="184">
        <v>100</v>
      </c>
      <c r="B114" s="212"/>
      <c r="C114" s="212"/>
      <c r="D114" s="212"/>
      <c r="E114" s="212"/>
      <c r="F114" s="212"/>
      <c r="G114" s="212"/>
      <c r="H114" s="212"/>
      <c r="I114" s="213"/>
      <c r="J114" s="190"/>
      <c r="K114" s="190"/>
      <c r="L114" s="191"/>
      <c r="M114" s="125">
        <f t="shared" si="3"/>
        <v>0</v>
      </c>
      <c r="N114" s="125">
        <f t="shared" si="4"/>
        <v>0</v>
      </c>
      <c r="O114" s="125">
        <f t="shared" si="5"/>
        <v>0</v>
      </c>
      <c r="P114" s="129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  <c r="HB114"/>
      <c r="HC114"/>
      <c r="HD114"/>
      <c r="HE114"/>
      <c r="HF114"/>
      <c r="HG114"/>
      <c r="HH114"/>
      <c r="HI114"/>
      <c r="HJ114"/>
      <c r="HK114"/>
      <c r="HL114"/>
      <c r="HM114"/>
      <c r="HN114"/>
      <c r="HO114"/>
      <c r="HP114"/>
      <c r="HQ114"/>
      <c r="HR114"/>
      <c r="HS114"/>
      <c r="HT114"/>
      <c r="HU114"/>
      <c r="HV114"/>
      <c r="HW114"/>
      <c r="HX114"/>
      <c r="HY114"/>
      <c r="HZ114"/>
      <c r="IA114"/>
      <c r="IB114"/>
      <c r="IC114"/>
      <c r="ID114"/>
      <c r="IE114"/>
      <c r="IF114"/>
      <c r="IG114"/>
      <c r="IH114"/>
      <c r="II114"/>
      <c r="IJ114"/>
      <c r="IK114"/>
      <c r="IL114"/>
      <c r="IM114"/>
      <c r="IN114"/>
      <c r="IO114"/>
      <c r="IP114"/>
      <c r="IQ114"/>
      <c r="IR114"/>
    </row>
    <row r="115" spans="1:253" ht="15.75" customHeight="1">
      <c r="B115" s="208" t="s">
        <v>143</v>
      </c>
      <c r="C115" s="209" t="s">
        <v>143</v>
      </c>
      <c r="D115" s="209" t="s">
        <v>143</v>
      </c>
      <c r="E115" s="209" t="s">
        <v>143</v>
      </c>
      <c r="F115" s="209" t="s">
        <v>143</v>
      </c>
      <c r="G115" s="209" t="s">
        <v>143</v>
      </c>
      <c r="H115" s="209" t="s">
        <v>143</v>
      </c>
      <c r="I115" s="210" t="s">
        <v>143</v>
      </c>
      <c r="J115" s="176"/>
      <c r="K115" s="180"/>
      <c r="L115" s="176"/>
      <c r="M115" s="177">
        <f>SUM(M15:M114)</f>
        <v>1098350</v>
      </c>
      <c r="N115" s="177">
        <f t="shared" ref="N115:O115" si="6">SUM(N15:N114)</f>
        <v>109835</v>
      </c>
      <c r="O115" s="177">
        <f t="shared" si="6"/>
        <v>1208185</v>
      </c>
      <c r="P115" s="129"/>
      <c r="Q115" s="27"/>
      <c r="R115" s="27"/>
      <c r="S115" s="27"/>
      <c r="T115" s="28"/>
      <c r="U115" s="29"/>
      <c r="V115" s="28"/>
      <c r="W115" s="28"/>
      <c r="X115" s="28"/>
      <c r="Y115" s="28"/>
      <c r="Z115" s="28"/>
      <c r="AA115" s="28"/>
      <c r="AB115" s="28"/>
      <c r="AC115" s="28"/>
      <c r="AD115" s="28"/>
      <c r="AE115" s="28"/>
      <c r="AF115" s="28"/>
      <c r="AG115" s="28"/>
      <c r="AH115" s="28"/>
      <c r="AI115" s="28"/>
      <c r="AJ115" s="28"/>
      <c r="AK115" s="28"/>
      <c r="AL115" s="28"/>
      <c r="AM115" s="28"/>
      <c r="AN115" s="28"/>
      <c r="AO115" s="28"/>
      <c r="AP115" s="28"/>
      <c r="AQ115" s="28"/>
      <c r="AR115" s="28"/>
      <c r="AS115" s="28"/>
      <c r="AT115" s="28"/>
      <c r="AU115" s="28"/>
      <c r="AV115" s="28"/>
      <c r="AW115" s="28"/>
      <c r="AX115" s="28"/>
      <c r="AY115" s="28"/>
      <c r="AZ115" s="28"/>
      <c r="BA115" s="28"/>
      <c r="BB115" s="28"/>
      <c r="BC115" s="28"/>
      <c r="BD115" s="28"/>
      <c r="BE115" s="28"/>
      <c r="BF115" s="28"/>
      <c r="BG115" s="28"/>
      <c r="BH115" s="28"/>
      <c r="BI115" s="28"/>
      <c r="BJ115" s="28"/>
      <c r="BK115" s="28"/>
      <c r="BL115" s="28"/>
      <c r="BM115" s="28"/>
      <c r="BN115" s="28"/>
      <c r="BO115" s="28"/>
      <c r="BP115" s="28"/>
      <c r="BQ115" s="28"/>
      <c r="BR115" s="28"/>
      <c r="BS115" s="28"/>
      <c r="BT115" s="28"/>
      <c r="BU115" s="28"/>
      <c r="BV115" s="28"/>
      <c r="BW115" s="28"/>
      <c r="BX115" s="28"/>
      <c r="BY115" s="28"/>
      <c r="BZ115" s="28"/>
      <c r="CA115" s="28"/>
      <c r="CB115" s="28"/>
      <c r="CC115" s="28"/>
      <c r="CD115" s="28"/>
      <c r="CE115" s="28"/>
      <c r="CF115" s="28"/>
      <c r="CG115" s="28"/>
      <c r="CH115" s="28"/>
      <c r="CI115" s="28"/>
      <c r="CJ115" s="28"/>
      <c r="CK115" s="28"/>
      <c r="CL115" s="28"/>
      <c r="CM115" s="28"/>
      <c r="CN115" s="28"/>
      <c r="CO115" s="28"/>
      <c r="CP115" s="28"/>
      <c r="CQ115" s="28"/>
      <c r="CR115" s="28"/>
      <c r="CS115" s="28"/>
      <c r="CT115" s="28"/>
      <c r="CU115" s="28"/>
      <c r="CV115" s="28"/>
      <c r="CW115" s="28"/>
      <c r="CX115" s="28"/>
      <c r="CY115" s="28"/>
      <c r="CZ115" s="28"/>
      <c r="DA115" s="28"/>
      <c r="DB115" s="28"/>
      <c r="DC115" s="28"/>
      <c r="DD115" s="28"/>
      <c r="DE115" s="28"/>
      <c r="DF115" s="28"/>
      <c r="DG115" s="28"/>
      <c r="DH115" s="28"/>
      <c r="DI115" s="28"/>
      <c r="DJ115" s="28"/>
      <c r="DK115" s="28"/>
      <c r="DL115" s="28"/>
      <c r="DM115" s="28"/>
      <c r="DN115" s="28"/>
      <c r="DO115" s="28"/>
      <c r="DP115" s="28"/>
      <c r="DQ115" s="28"/>
      <c r="DR115" s="28"/>
      <c r="DS115" s="28"/>
      <c r="DT115" s="28"/>
      <c r="DU115" s="28"/>
      <c r="DV115" s="28"/>
      <c r="DW115" s="28"/>
      <c r="DX115" s="28"/>
      <c r="DY115" s="28"/>
      <c r="DZ115" s="28"/>
      <c r="EA115" s="28"/>
      <c r="EB115" s="28"/>
      <c r="EC115" s="28"/>
      <c r="ED115" s="28"/>
      <c r="EE115" s="28"/>
      <c r="EF115" s="28"/>
      <c r="EG115" s="28"/>
      <c r="EH115" s="28"/>
      <c r="EI115" s="28"/>
      <c r="EJ115" s="28"/>
      <c r="EK115" s="28"/>
      <c r="EL115" s="28"/>
      <c r="EM115" s="28"/>
      <c r="EN115" s="28"/>
      <c r="EO115" s="28"/>
      <c r="EP115" s="28"/>
      <c r="EQ115" s="28"/>
      <c r="ER115" s="28"/>
      <c r="ES115" s="28"/>
      <c r="ET115" s="28"/>
      <c r="EU115" s="28"/>
      <c r="EV115" s="28"/>
      <c r="EW115" s="28"/>
      <c r="EX115" s="28"/>
      <c r="EY115" s="28"/>
      <c r="EZ115" s="28"/>
      <c r="FA115" s="28"/>
      <c r="FB115" s="28"/>
      <c r="FC115" s="28"/>
      <c r="FD115" s="28"/>
      <c r="FE115" s="28"/>
      <c r="FF115" s="28"/>
      <c r="FG115" s="28"/>
      <c r="FH115" s="28"/>
      <c r="FI115" s="28"/>
      <c r="FJ115" s="28"/>
      <c r="FK115" s="28"/>
      <c r="FL115" s="28"/>
      <c r="FM115" s="28"/>
      <c r="FN115" s="28"/>
      <c r="FO115" s="28"/>
      <c r="FP115" s="28"/>
      <c r="FQ115" s="28"/>
      <c r="FR115" s="28"/>
      <c r="FS115" s="28"/>
      <c r="FT115" s="28"/>
      <c r="FU115" s="28"/>
      <c r="FV115" s="28"/>
      <c r="FW115" s="28"/>
      <c r="FX115" s="28"/>
      <c r="FY115" s="28"/>
      <c r="FZ115" s="28"/>
      <c r="GA115" s="28"/>
      <c r="GB115" s="28"/>
      <c r="GC115" s="28"/>
      <c r="GD115" s="28"/>
      <c r="GE115" s="28"/>
      <c r="GF115" s="28"/>
      <c r="GG115" s="28"/>
      <c r="GH115" s="28"/>
      <c r="GI115" s="28"/>
      <c r="GJ115" s="28"/>
      <c r="GK115" s="28"/>
      <c r="GL115" s="28"/>
      <c r="GM115" s="28"/>
      <c r="GN115" s="28"/>
      <c r="GO115" s="28"/>
      <c r="GP115" s="28"/>
      <c r="GQ115" s="28"/>
      <c r="GR115" s="28"/>
      <c r="GS115" s="28"/>
      <c r="GT115" s="28"/>
      <c r="GU115" s="28"/>
      <c r="GV115" s="28"/>
      <c r="GW115" s="28"/>
      <c r="GX115" s="28"/>
      <c r="GY115" s="28"/>
      <c r="GZ115" s="28"/>
      <c r="HA115" s="28"/>
      <c r="HB115" s="28"/>
      <c r="HC115" s="28"/>
      <c r="HD115" s="28"/>
      <c r="HE115" s="28"/>
      <c r="HF115" s="28"/>
      <c r="HG115" s="28"/>
      <c r="HH115" s="28"/>
      <c r="HI115" s="28"/>
      <c r="HJ115" s="28"/>
      <c r="HK115" s="28"/>
      <c r="HL115" s="28"/>
      <c r="HM115" s="28"/>
      <c r="HN115" s="28"/>
      <c r="HO115" s="28"/>
      <c r="HP115" s="28"/>
      <c r="HQ115" s="28"/>
      <c r="HR115" s="28"/>
      <c r="HS115" s="28"/>
      <c r="HT115" s="28"/>
      <c r="HU115" s="28"/>
      <c r="HV115" s="28"/>
      <c r="HW115" s="28"/>
      <c r="HX115" s="28"/>
      <c r="HY115" s="28"/>
      <c r="HZ115" s="28"/>
      <c r="IA115" s="28"/>
      <c r="IB115" s="28"/>
      <c r="IC115" s="28"/>
      <c r="ID115" s="28"/>
      <c r="IE115" s="28"/>
      <c r="IF115" s="28"/>
      <c r="IG115" s="28"/>
      <c r="IH115" s="28"/>
      <c r="II115" s="28"/>
      <c r="IJ115" s="28"/>
      <c r="IK115" s="28"/>
      <c r="IL115" s="28"/>
      <c r="IM115" s="28"/>
      <c r="IN115" s="28"/>
      <c r="IO115" s="28"/>
      <c r="IP115" s="28"/>
      <c r="IQ115" s="28"/>
      <c r="IR115" s="28"/>
      <c r="IS115" s="28"/>
    </row>
    <row r="116" spans="1:253">
      <c r="A116" s="17"/>
      <c r="B116" s="7"/>
      <c r="C116" s="7"/>
      <c r="D116" s="7"/>
      <c r="E116" s="7"/>
      <c r="Q116" s="27"/>
      <c r="R116" s="27"/>
      <c r="S116" s="27"/>
      <c r="T116" s="28"/>
      <c r="U116" s="29"/>
      <c r="V116" s="28"/>
      <c r="W116" s="28"/>
      <c r="X116" s="28"/>
      <c r="Y116" s="28"/>
      <c r="Z116" s="28"/>
      <c r="AA116" s="28"/>
      <c r="AB116" s="28"/>
      <c r="AC116" s="28"/>
      <c r="AD116" s="28"/>
      <c r="AE116" s="28"/>
      <c r="AF116" s="28"/>
      <c r="AG116" s="28"/>
      <c r="AH116" s="28"/>
      <c r="AI116" s="28"/>
      <c r="AJ116" s="28"/>
      <c r="AK116" s="28"/>
      <c r="AL116" s="28"/>
      <c r="AM116" s="28"/>
      <c r="AN116" s="28"/>
      <c r="AO116" s="28"/>
      <c r="AP116" s="28"/>
      <c r="AQ116" s="28"/>
      <c r="AR116" s="28"/>
      <c r="AS116" s="28"/>
      <c r="AT116" s="28"/>
      <c r="AU116" s="28"/>
      <c r="AV116" s="28"/>
      <c r="AW116" s="28"/>
      <c r="AX116" s="28"/>
      <c r="AY116" s="28"/>
      <c r="AZ116" s="28"/>
      <c r="BA116" s="28"/>
      <c r="BB116" s="28"/>
      <c r="BC116" s="28"/>
      <c r="BD116" s="28"/>
      <c r="BE116" s="28"/>
      <c r="BF116" s="28"/>
      <c r="BG116" s="28"/>
      <c r="BH116" s="28"/>
      <c r="BI116" s="28"/>
      <c r="BJ116" s="28"/>
      <c r="BK116" s="28"/>
      <c r="BL116" s="28"/>
      <c r="BM116" s="28"/>
      <c r="BN116" s="28"/>
      <c r="BO116" s="28"/>
      <c r="BP116" s="28"/>
      <c r="BQ116" s="28"/>
      <c r="BR116" s="28"/>
      <c r="BS116" s="28"/>
      <c r="BT116" s="28"/>
      <c r="BU116" s="28"/>
      <c r="BV116" s="28"/>
      <c r="BW116" s="28"/>
      <c r="BX116" s="28"/>
      <c r="BY116" s="28"/>
      <c r="BZ116" s="28"/>
      <c r="CA116" s="28"/>
      <c r="CB116" s="28"/>
      <c r="CC116" s="28"/>
      <c r="CD116" s="28"/>
      <c r="CE116" s="28"/>
      <c r="CF116" s="28"/>
      <c r="CG116" s="28"/>
      <c r="CH116" s="28"/>
      <c r="CI116" s="28"/>
      <c r="CJ116" s="28"/>
      <c r="CK116" s="28"/>
      <c r="CL116" s="28"/>
      <c r="CM116" s="28"/>
      <c r="CN116" s="28"/>
      <c r="CO116" s="28"/>
      <c r="CP116" s="28"/>
      <c r="CQ116" s="28"/>
      <c r="CR116" s="28"/>
      <c r="CS116" s="28"/>
      <c r="CT116" s="28"/>
      <c r="CU116" s="28"/>
      <c r="CV116" s="28"/>
      <c r="CW116" s="28"/>
      <c r="CX116" s="28"/>
      <c r="CY116" s="28"/>
      <c r="CZ116" s="28"/>
      <c r="DA116" s="28"/>
      <c r="DB116" s="28"/>
      <c r="DC116" s="28"/>
      <c r="DD116" s="28"/>
      <c r="DE116" s="28"/>
      <c r="DF116" s="28"/>
      <c r="DG116" s="28"/>
      <c r="DH116" s="28"/>
      <c r="DI116" s="28"/>
      <c r="DJ116" s="28"/>
      <c r="DK116" s="28"/>
      <c r="DL116" s="28"/>
      <c r="DM116" s="28"/>
      <c r="DN116" s="28"/>
      <c r="DO116" s="28"/>
      <c r="DP116" s="28"/>
      <c r="DQ116" s="28"/>
      <c r="DR116" s="28"/>
      <c r="DS116" s="28"/>
      <c r="DT116" s="28"/>
      <c r="DU116" s="28"/>
      <c r="DV116" s="28"/>
      <c r="DW116" s="28"/>
      <c r="DX116" s="28"/>
      <c r="DY116" s="28"/>
      <c r="DZ116" s="28"/>
      <c r="EA116" s="28"/>
      <c r="EB116" s="28"/>
      <c r="EC116" s="28"/>
      <c r="ED116" s="28"/>
      <c r="EE116" s="28"/>
      <c r="EF116" s="28"/>
      <c r="EG116" s="28"/>
      <c r="EH116" s="28"/>
      <c r="EI116" s="28"/>
      <c r="EJ116" s="28"/>
      <c r="EK116" s="28"/>
      <c r="EL116" s="28"/>
      <c r="EM116" s="28"/>
      <c r="EN116" s="28"/>
      <c r="EO116" s="28"/>
      <c r="EP116" s="28"/>
      <c r="EQ116" s="28"/>
      <c r="ER116" s="28"/>
      <c r="ES116" s="28"/>
      <c r="ET116" s="28"/>
      <c r="EU116" s="28"/>
      <c r="EV116" s="28"/>
      <c r="EW116" s="28"/>
      <c r="EX116" s="28"/>
      <c r="EY116" s="28"/>
      <c r="EZ116" s="28"/>
      <c r="FA116" s="28"/>
      <c r="FB116" s="28"/>
      <c r="FC116" s="28"/>
      <c r="FD116" s="28"/>
      <c r="FE116" s="28"/>
      <c r="FF116" s="28"/>
      <c r="FG116" s="28"/>
      <c r="FH116" s="28"/>
      <c r="FI116" s="28"/>
      <c r="FJ116" s="28"/>
      <c r="FK116" s="28"/>
      <c r="FL116" s="28"/>
      <c r="FM116" s="28"/>
      <c r="FN116" s="28"/>
      <c r="FO116" s="28"/>
      <c r="FP116" s="28"/>
      <c r="FQ116" s="28"/>
      <c r="FR116" s="28"/>
      <c r="FS116" s="28"/>
      <c r="FT116" s="28"/>
      <c r="FU116" s="28"/>
      <c r="FV116" s="28"/>
      <c r="FW116" s="28"/>
      <c r="FX116" s="28"/>
      <c r="FY116" s="28"/>
      <c r="FZ116" s="28"/>
      <c r="GA116" s="28"/>
      <c r="GB116" s="28"/>
      <c r="GC116" s="28"/>
      <c r="GD116" s="28"/>
      <c r="GE116" s="28"/>
      <c r="GF116" s="28"/>
      <c r="GG116" s="28"/>
      <c r="GH116" s="28"/>
      <c r="GI116" s="28"/>
      <c r="GJ116" s="28"/>
      <c r="GK116" s="28"/>
      <c r="GL116" s="28"/>
      <c r="GM116" s="28"/>
      <c r="GN116" s="28"/>
      <c r="GO116" s="28"/>
      <c r="GP116" s="28"/>
      <c r="GQ116" s="28"/>
      <c r="GR116" s="28"/>
      <c r="GS116" s="28"/>
      <c r="GT116" s="28"/>
      <c r="GU116" s="28"/>
      <c r="GV116" s="28"/>
      <c r="GW116" s="28"/>
      <c r="GX116" s="28"/>
      <c r="GY116" s="28"/>
      <c r="GZ116" s="28"/>
      <c r="HA116" s="28"/>
      <c r="HB116" s="28"/>
      <c r="HC116" s="28"/>
      <c r="HD116" s="28"/>
      <c r="HE116" s="28"/>
      <c r="HF116" s="28"/>
      <c r="HG116" s="28"/>
      <c r="HH116" s="28"/>
      <c r="HI116" s="28"/>
      <c r="HJ116" s="28"/>
      <c r="HK116" s="28"/>
      <c r="HL116" s="28"/>
      <c r="HM116" s="28"/>
      <c r="HN116" s="28"/>
      <c r="HO116" s="28"/>
      <c r="HP116" s="28"/>
      <c r="HQ116" s="28"/>
      <c r="HR116" s="28"/>
      <c r="HS116" s="28"/>
      <c r="HT116" s="28"/>
      <c r="HU116" s="28"/>
      <c r="HV116" s="28"/>
      <c r="HW116" s="28"/>
      <c r="HX116" s="28"/>
      <c r="HY116" s="28"/>
      <c r="HZ116" s="28"/>
      <c r="IA116" s="28"/>
      <c r="IB116" s="28"/>
      <c r="IC116" s="28"/>
      <c r="ID116" s="28"/>
      <c r="IE116" s="28"/>
      <c r="IF116" s="28"/>
      <c r="IG116" s="28"/>
      <c r="IH116" s="28"/>
      <c r="II116" s="28"/>
      <c r="IJ116" s="28"/>
      <c r="IK116" s="28"/>
      <c r="IL116" s="28"/>
      <c r="IM116" s="28"/>
      <c r="IN116" s="28"/>
      <c r="IO116" s="28"/>
      <c r="IP116" s="28"/>
      <c r="IQ116" s="28"/>
      <c r="IR116" s="28"/>
      <c r="IS116" s="28"/>
    </row>
    <row r="117" spans="1:253" ht="15.75" customHeight="1">
      <c r="A117" s="23" t="s">
        <v>22</v>
      </c>
      <c r="B117" s="24"/>
      <c r="C117" s="25"/>
      <c r="D117" s="25"/>
      <c r="E117" s="25"/>
      <c r="F117" s="25"/>
      <c r="G117" s="25"/>
      <c r="H117" s="25"/>
      <c r="I117" s="25"/>
      <c r="J117" s="24"/>
      <c r="K117" s="25"/>
      <c r="L117" s="25"/>
      <c r="M117" s="25"/>
      <c r="N117" s="25"/>
      <c r="O117" s="25"/>
      <c r="P117" s="26"/>
      <c r="Q117" s="27"/>
      <c r="R117" s="27"/>
      <c r="S117" s="27"/>
      <c r="T117" s="28"/>
      <c r="U117" s="29"/>
      <c r="V117" s="28"/>
      <c r="W117" s="28"/>
      <c r="X117" s="28"/>
      <c r="Y117" s="28"/>
      <c r="Z117" s="28"/>
      <c r="AA117" s="28"/>
      <c r="AB117" s="28"/>
      <c r="AC117" s="28"/>
      <c r="AD117" s="28"/>
      <c r="AE117" s="28"/>
      <c r="AF117" s="28"/>
      <c r="AG117" s="28"/>
      <c r="AH117" s="28"/>
      <c r="AI117" s="28"/>
      <c r="AJ117" s="28"/>
      <c r="AK117" s="28"/>
      <c r="AL117" s="28"/>
      <c r="AM117" s="28"/>
      <c r="AN117" s="28"/>
      <c r="AO117" s="28"/>
      <c r="AP117" s="28"/>
      <c r="AQ117" s="28"/>
      <c r="AR117" s="28"/>
      <c r="AS117" s="28"/>
      <c r="AT117" s="28"/>
      <c r="AU117" s="28"/>
      <c r="AV117" s="28"/>
      <c r="AW117" s="28"/>
      <c r="AX117" s="28"/>
      <c r="AY117" s="28"/>
      <c r="AZ117" s="28"/>
      <c r="BA117" s="28"/>
      <c r="BB117" s="28"/>
      <c r="BC117" s="28"/>
      <c r="BD117" s="28"/>
      <c r="BE117" s="28"/>
      <c r="BF117" s="28"/>
      <c r="BG117" s="28"/>
      <c r="BH117" s="28"/>
      <c r="BI117" s="28"/>
      <c r="BJ117" s="28"/>
      <c r="BK117" s="28"/>
      <c r="BL117" s="28"/>
      <c r="BM117" s="28"/>
      <c r="BN117" s="28"/>
      <c r="BO117" s="28"/>
      <c r="BP117" s="28"/>
      <c r="BQ117" s="28"/>
      <c r="BR117" s="28"/>
      <c r="BS117" s="28"/>
      <c r="BT117" s="28"/>
      <c r="BU117" s="28"/>
      <c r="BV117" s="28"/>
      <c r="BW117" s="28"/>
      <c r="BX117" s="28"/>
      <c r="BY117" s="28"/>
      <c r="BZ117" s="28"/>
      <c r="CA117" s="28"/>
      <c r="CB117" s="28"/>
      <c r="CC117" s="28"/>
      <c r="CD117" s="28"/>
      <c r="CE117" s="28"/>
      <c r="CF117" s="28"/>
      <c r="CG117" s="28"/>
      <c r="CH117" s="28"/>
      <c r="CI117" s="28"/>
      <c r="CJ117" s="28"/>
      <c r="CK117" s="28"/>
      <c r="CL117" s="28"/>
      <c r="CM117" s="28"/>
      <c r="CN117" s="28"/>
      <c r="CO117" s="28"/>
      <c r="CP117" s="28"/>
      <c r="CQ117" s="28"/>
      <c r="CR117" s="28"/>
      <c r="CS117" s="28"/>
      <c r="CT117" s="28"/>
      <c r="CU117" s="28"/>
      <c r="CV117" s="28"/>
      <c r="CW117" s="28"/>
      <c r="CX117" s="28"/>
      <c r="CY117" s="28"/>
      <c r="CZ117" s="28"/>
      <c r="DA117" s="28"/>
      <c r="DB117" s="28"/>
      <c r="DC117" s="28"/>
      <c r="DD117" s="28"/>
      <c r="DE117" s="28"/>
      <c r="DF117" s="28"/>
      <c r="DG117" s="28"/>
      <c r="DH117" s="28"/>
      <c r="DI117" s="28"/>
      <c r="DJ117" s="28"/>
      <c r="DK117" s="28"/>
      <c r="DL117" s="28"/>
      <c r="DM117" s="28"/>
      <c r="DN117" s="28"/>
      <c r="DO117" s="28"/>
      <c r="DP117" s="28"/>
      <c r="DQ117" s="28"/>
      <c r="DR117" s="28"/>
      <c r="DS117" s="28"/>
      <c r="DT117" s="28"/>
      <c r="DU117" s="28"/>
      <c r="DV117" s="28"/>
      <c r="DW117" s="28"/>
      <c r="DX117" s="28"/>
      <c r="DY117" s="28"/>
      <c r="DZ117" s="28"/>
      <c r="EA117" s="28"/>
      <c r="EB117" s="28"/>
      <c r="EC117" s="28"/>
      <c r="ED117" s="28"/>
      <c r="EE117" s="28"/>
      <c r="EF117" s="28"/>
      <c r="EG117" s="28"/>
      <c r="EH117" s="28"/>
      <c r="EI117" s="28"/>
      <c r="EJ117" s="28"/>
      <c r="EK117" s="28"/>
      <c r="EL117" s="28"/>
      <c r="EM117" s="28"/>
      <c r="EN117" s="28"/>
      <c r="EO117" s="28"/>
      <c r="EP117" s="28"/>
      <c r="EQ117" s="28"/>
      <c r="ER117" s="28"/>
      <c r="ES117" s="28"/>
      <c r="ET117" s="28"/>
      <c r="EU117" s="28"/>
      <c r="EV117" s="28"/>
      <c r="EW117" s="28"/>
      <c r="EX117" s="28"/>
      <c r="EY117" s="28"/>
      <c r="EZ117" s="28"/>
      <c r="FA117" s="28"/>
      <c r="FB117" s="28"/>
      <c r="FC117" s="28"/>
      <c r="FD117" s="28"/>
      <c r="FE117" s="28"/>
      <c r="FF117" s="28"/>
      <c r="FG117" s="28"/>
      <c r="FH117" s="28"/>
      <c r="FI117" s="28"/>
      <c r="FJ117" s="28"/>
      <c r="FK117" s="28"/>
      <c r="FL117" s="28"/>
      <c r="FM117" s="28"/>
      <c r="FN117" s="28"/>
      <c r="FO117" s="28"/>
      <c r="FP117" s="28"/>
      <c r="FQ117" s="28"/>
      <c r="FR117" s="28"/>
      <c r="FS117" s="28"/>
      <c r="FT117" s="28"/>
      <c r="FU117" s="28"/>
      <c r="FV117" s="28"/>
      <c r="FW117" s="28"/>
      <c r="FX117" s="28"/>
      <c r="FY117" s="28"/>
      <c r="FZ117" s="28"/>
      <c r="GA117" s="28"/>
      <c r="GB117" s="28"/>
      <c r="GC117" s="28"/>
      <c r="GD117" s="28"/>
      <c r="GE117" s="28"/>
      <c r="GF117" s="28"/>
      <c r="GG117" s="28"/>
      <c r="GH117" s="28"/>
      <c r="GI117" s="28"/>
      <c r="GJ117" s="28"/>
      <c r="GK117" s="28"/>
      <c r="GL117" s="28"/>
      <c r="GM117" s="28"/>
      <c r="GN117" s="28"/>
      <c r="GO117" s="28"/>
      <c r="GP117" s="28"/>
      <c r="GQ117" s="28"/>
      <c r="GR117" s="28"/>
      <c r="GS117" s="28"/>
      <c r="GT117" s="28"/>
      <c r="GU117" s="28"/>
      <c r="GV117" s="28"/>
      <c r="GW117" s="28"/>
      <c r="GX117" s="28"/>
      <c r="GY117" s="28"/>
      <c r="GZ117" s="28"/>
      <c r="HA117" s="28"/>
      <c r="HB117" s="28"/>
      <c r="HC117" s="28"/>
      <c r="HD117" s="28"/>
      <c r="HE117" s="28"/>
      <c r="HF117" s="28"/>
      <c r="HG117" s="28"/>
      <c r="HH117" s="28"/>
      <c r="HI117" s="28"/>
      <c r="HJ117" s="28"/>
      <c r="HK117" s="28"/>
      <c r="HL117" s="28"/>
      <c r="HM117" s="28"/>
      <c r="HN117" s="28"/>
      <c r="HO117" s="28"/>
      <c r="HP117" s="28"/>
      <c r="HQ117" s="28"/>
      <c r="HR117" s="28"/>
      <c r="HS117" s="28"/>
      <c r="HT117" s="28"/>
      <c r="HU117" s="28"/>
      <c r="HV117" s="28"/>
      <c r="HW117" s="28"/>
      <c r="HX117" s="28"/>
      <c r="HY117" s="28"/>
      <c r="HZ117" s="28"/>
      <c r="IA117" s="28"/>
      <c r="IB117" s="28"/>
      <c r="IC117" s="28"/>
      <c r="ID117" s="28"/>
      <c r="IE117" s="28"/>
      <c r="IF117" s="28"/>
      <c r="IG117" s="28"/>
      <c r="IH117" s="28"/>
      <c r="II117" s="28"/>
      <c r="IJ117" s="28"/>
      <c r="IK117" s="28"/>
      <c r="IL117" s="28"/>
      <c r="IM117" s="28"/>
      <c r="IN117" s="28"/>
      <c r="IO117" s="28"/>
      <c r="IP117" s="28"/>
      <c r="IQ117" s="28"/>
      <c r="IR117" s="28"/>
      <c r="IS117" s="28"/>
    </row>
    <row r="118" spans="1:253" ht="15.75" customHeight="1">
      <c r="A118" s="25"/>
      <c r="B118" s="25"/>
      <c r="C118" s="25"/>
      <c r="D118" s="25"/>
      <c r="E118" s="25"/>
      <c r="F118" s="25"/>
      <c r="G118" s="25"/>
      <c r="H118" s="25"/>
      <c r="I118" s="25"/>
      <c r="J118" s="24"/>
      <c r="K118" s="25"/>
      <c r="L118" s="25"/>
      <c r="M118" s="25"/>
      <c r="N118" s="25"/>
      <c r="O118" s="25"/>
      <c r="P118" s="26"/>
      <c r="Q118" s="27"/>
      <c r="R118" s="27"/>
      <c r="S118" s="27"/>
      <c r="T118" s="25"/>
      <c r="U118" s="35"/>
      <c r="V118" s="25"/>
      <c r="W118" s="25"/>
      <c r="X118" s="25"/>
      <c r="Y118" s="25"/>
      <c r="Z118" s="25"/>
      <c r="AA118" s="25"/>
      <c r="AB118" s="25"/>
      <c r="AC118" s="25"/>
      <c r="AD118" s="25"/>
      <c r="AE118" s="25"/>
      <c r="AF118" s="25"/>
      <c r="AG118" s="25"/>
      <c r="AH118" s="25"/>
      <c r="AI118" s="25"/>
      <c r="AJ118" s="25"/>
      <c r="AK118" s="25"/>
      <c r="AL118" s="25"/>
      <c r="AM118" s="25"/>
      <c r="AN118" s="25"/>
      <c r="AO118" s="25"/>
      <c r="AP118" s="25"/>
      <c r="AQ118" s="25"/>
      <c r="AR118" s="25"/>
      <c r="AS118" s="25"/>
      <c r="AT118" s="25"/>
      <c r="AU118" s="25"/>
      <c r="AV118" s="25"/>
      <c r="AW118" s="25"/>
      <c r="AX118" s="25"/>
      <c r="AY118" s="25"/>
      <c r="AZ118" s="25"/>
      <c r="BA118" s="25"/>
      <c r="BB118" s="25"/>
      <c r="BC118" s="25"/>
      <c r="BD118" s="25"/>
      <c r="BE118" s="25"/>
      <c r="BF118" s="25"/>
      <c r="BG118" s="25"/>
      <c r="BH118" s="25"/>
      <c r="BI118" s="25"/>
      <c r="BJ118" s="25"/>
      <c r="BK118" s="25"/>
      <c r="BL118" s="25"/>
      <c r="BM118" s="25"/>
      <c r="BN118" s="25"/>
      <c r="BO118" s="25"/>
      <c r="BP118" s="25"/>
      <c r="BQ118" s="25"/>
      <c r="BR118" s="25"/>
      <c r="BS118" s="25"/>
      <c r="BT118" s="25"/>
      <c r="BU118" s="25"/>
      <c r="BV118" s="25"/>
      <c r="BW118" s="25"/>
      <c r="BX118" s="25"/>
      <c r="BY118" s="25"/>
      <c r="BZ118" s="25"/>
      <c r="CA118" s="25"/>
      <c r="CB118" s="25"/>
      <c r="CC118" s="25"/>
      <c r="CD118" s="25"/>
      <c r="CE118" s="25"/>
      <c r="CF118" s="25"/>
      <c r="CG118" s="25"/>
      <c r="CH118" s="25"/>
      <c r="CI118" s="25"/>
      <c r="CJ118" s="25"/>
      <c r="CK118" s="25"/>
      <c r="CL118" s="25"/>
      <c r="CM118" s="25"/>
      <c r="CN118" s="25"/>
      <c r="CO118" s="25"/>
      <c r="CP118" s="25"/>
      <c r="CQ118" s="25"/>
      <c r="CR118" s="25"/>
      <c r="CS118" s="25"/>
      <c r="CT118" s="25"/>
      <c r="CU118" s="25"/>
      <c r="CV118" s="25"/>
      <c r="CW118" s="25"/>
      <c r="CX118" s="25"/>
      <c r="CY118" s="25"/>
      <c r="CZ118" s="25"/>
      <c r="DA118" s="25"/>
      <c r="DB118" s="25"/>
      <c r="DC118" s="25"/>
      <c r="DD118" s="25"/>
      <c r="DE118" s="25"/>
      <c r="DF118" s="25"/>
      <c r="DG118" s="25"/>
      <c r="DH118" s="25"/>
      <c r="DI118" s="25"/>
      <c r="DJ118" s="25"/>
      <c r="DK118" s="25"/>
      <c r="DL118" s="25"/>
      <c r="DM118" s="25"/>
      <c r="DN118" s="25"/>
      <c r="DO118" s="25"/>
      <c r="DP118" s="25"/>
      <c r="DQ118" s="25"/>
      <c r="DR118" s="25"/>
      <c r="DS118" s="25"/>
      <c r="DT118" s="25"/>
      <c r="DU118" s="25"/>
      <c r="DV118" s="25"/>
      <c r="DW118" s="25"/>
      <c r="DX118" s="25"/>
      <c r="DY118" s="25"/>
      <c r="DZ118" s="25"/>
      <c r="EA118" s="25"/>
      <c r="EB118" s="25"/>
      <c r="EC118" s="25"/>
      <c r="ED118" s="25"/>
      <c r="EE118" s="25"/>
      <c r="EF118" s="25"/>
      <c r="EG118" s="25"/>
      <c r="EH118" s="25"/>
      <c r="EI118" s="25"/>
      <c r="EJ118" s="25"/>
      <c r="EK118" s="25"/>
      <c r="EL118" s="25"/>
      <c r="EM118" s="25"/>
      <c r="EN118" s="25"/>
      <c r="EO118" s="25"/>
      <c r="EP118" s="25"/>
      <c r="EQ118" s="25"/>
      <c r="ER118" s="25"/>
      <c r="ES118" s="25"/>
      <c r="ET118" s="25"/>
      <c r="EU118" s="25"/>
      <c r="EV118" s="25"/>
      <c r="EW118" s="25"/>
      <c r="EX118" s="25"/>
      <c r="EY118" s="25"/>
      <c r="EZ118" s="25"/>
      <c r="FA118" s="25"/>
      <c r="FB118" s="25"/>
      <c r="FC118" s="25"/>
      <c r="FD118" s="25"/>
      <c r="FE118" s="25"/>
      <c r="FF118" s="25"/>
      <c r="FG118" s="25"/>
      <c r="FH118" s="25"/>
      <c r="FI118" s="25"/>
      <c r="FJ118" s="25"/>
      <c r="FK118" s="25"/>
      <c r="FL118" s="25"/>
      <c r="FM118" s="25"/>
      <c r="FN118" s="25"/>
      <c r="FO118" s="25"/>
      <c r="FP118" s="25"/>
      <c r="FQ118" s="25"/>
      <c r="FR118" s="25"/>
      <c r="FS118" s="25"/>
      <c r="FT118" s="25"/>
      <c r="FU118" s="25"/>
      <c r="FV118" s="25"/>
      <c r="FW118" s="25"/>
      <c r="FX118" s="25"/>
      <c r="FY118" s="25"/>
      <c r="FZ118" s="25"/>
      <c r="GA118" s="25"/>
      <c r="GB118" s="25"/>
      <c r="GC118" s="25"/>
      <c r="GD118" s="25"/>
      <c r="GE118" s="25"/>
      <c r="GF118" s="25"/>
      <c r="GG118" s="25"/>
      <c r="GH118" s="25"/>
      <c r="GI118" s="25"/>
      <c r="GJ118" s="25"/>
      <c r="GK118" s="25"/>
      <c r="GL118" s="25"/>
      <c r="GM118" s="25"/>
      <c r="GN118" s="25"/>
      <c r="GO118" s="25"/>
      <c r="GP118" s="25"/>
      <c r="GQ118" s="25"/>
      <c r="GR118" s="25"/>
      <c r="GS118" s="25"/>
      <c r="GT118" s="25"/>
      <c r="GU118" s="25"/>
      <c r="GV118" s="25"/>
      <c r="GW118" s="25"/>
      <c r="GX118" s="25"/>
      <c r="GY118" s="25"/>
      <c r="GZ118" s="25"/>
      <c r="HA118" s="25"/>
      <c r="HB118" s="25"/>
      <c r="HC118" s="25"/>
      <c r="HD118" s="25"/>
      <c r="HE118" s="25"/>
      <c r="HF118" s="25"/>
      <c r="HG118" s="25"/>
      <c r="HH118" s="25"/>
      <c r="HI118" s="25"/>
      <c r="HJ118" s="25"/>
      <c r="HK118" s="25"/>
      <c r="HL118" s="25"/>
      <c r="HM118" s="25"/>
      <c r="HN118" s="25"/>
      <c r="HO118" s="25"/>
      <c r="HP118" s="25"/>
      <c r="HQ118" s="25"/>
      <c r="HR118" s="25"/>
      <c r="HS118" s="25"/>
      <c r="HT118" s="25"/>
      <c r="HU118" s="25"/>
      <c r="HV118" s="25"/>
      <c r="HW118" s="25"/>
      <c r="HX118" s="25"/>
      <c r="HY118" s="25"/>
      <c r="HZ118" s="25"/>
      <c r="IA118" s="25"/>
      <c r="IB118" s="25"/>
      <c r="IC118" s="25"/>
      <c r="ID118" s="25"/>
      <c r="IE118" s="25"/>
      <c r="IF118" s="25"/>
      <c r="IG118" s="25"/>
      <c r="IH118" s="25"/>
      <c r="II118" s="25"/>
      <c r="IJ118" s="25"/>
      <c r="IK118" s="25"/>
      <c r="IL118" s="25"/>
      <c r="IM118" s="25"/>
      <c r="IN118" s="25"/>
      <c r="IO118" s="25"/>
      <c r="IP118" s="25"/>
      <c r="IQ118" s="25"/>
      <c r="IR118" s="25"/>
      <c r="IS118" s="25"/>
    </row>
    <row r="119" spans="1:253" ht="15.75" customHeight="1">
      <c r="A119" s="30" t="s">
        <v>23</v>
      </c>
      <c r="B119" s="207" t="s">
        <v>24</v>
      </c>
      <c r="C119" s="207"/>
      <c r="D119" s="207"/>
      <c r="E119" s="207"/>
      <c r="F119" s="207"/>
      <c r="G119" s="207"/>
      <c r="H119" s="207"/>
      <c r="I119" s="207"/>
      <c r="J119" s="207"/>
      <c r="K119" s="207"/>
      <c r="L119" s="207"/>
      <c r="M119" s="31"/>
      <c r="N119" s="31"/>
      <c r="O119" s="31"/>
      <c r="P119" s="26"/>
      <c r="Q119" s="27"/>
      <c r="R119" s="27"/>
      <c r="S119" s="27"/>
      <c r="T119" s="25"/>
      <c r="U119" s="35"/>
      <c r="V119" s="25"/>
      <c r="W119" s="25"/>
      <c r="X119" s="25"/>
      <c r="Y119" s="25"/>
      <c r="Z119" s="25"/>
      <c r="AA119" s="25"/>
      <c r="AB119" s="25"/>
      <c r="AC119" s="25"/>
      <c r="AD119" s="25"/>
      <c r="AE119" s="25"/>
      <c r="AF119" s="25"/>
      <c r="AG119" s="25"/>
      <c r="AH119" s="25"/>
      <c r="AI119" s="25"/>
      <c r="AJ119" s="25"/>
      <c r="AK119" s="25"/>
      <c r="AL119" s="25"/>
      <c r="AM119" s="25"/>
      <c r="AN119" s="25"/>
      <c r="AO119" s="25"/>
      <c r="AP119" s="25"/>
      <c r="AQ119" s="25"/>
      <c r="AR119" s="25"/>
      <c r="AS119" s="25"/>
      <c r="AT119" s="25"/>
      <c r="AU119" s="25"/>
      <c r="AV119" s="25"/>
      <c r="AW119" s="25"/>
      <c r="AX119" s="25"/>
      <c r="AY119" s="25"/>
      <c r="AZ119" s="25"/>
      <c r="BA119" s="25"/>
      <c r="BB119" s="25"/>
      <c r="BC119" s="25"/>
      <c r="BD119" s="25"/>
      <c r="BE119" s="25"/>
      <c r="BF119" s="25"/>
      <c r="BG119" s="25"/>
      <c r="BH119" s="25"/>
      <c r="BI119" s="25"/>
      <c r="BJ119" s="25"/>
      <c r="BK119" s="25"/>
      <c r="BL119" s="25"/>
      <c r="BM119" s="25"/>
      <c r="BN119" s="25"/>
      <c r="BO119" s="25"/>
      <c r="BP119" s="25"/>
      <c r="BQ119" s="25"/>
      <c r="BR119" s="25"/>
      <c r="BS119" s="25"/>
      <c r="BT119" s="25"/>
      <c r="BU119" s="25"/>
      <c r="BV119" s="25"/>
      <c r="BW119" s="25"/>
      <c r="BX119" s="25"/>
      <c r="BY119" s="25"/>
      <c r="BZ119" s="25"/>
      <c r="CA119" s="25"/>
      <c r="CB119" s="25"/>
      <c r="CC119" s="25"/>
      <c r="CD119" s="25"/>
      <c r="CE119" s="25"/>
      <c r="CF119" s="25"/>
      <c r="CG119" s="25"/>
      <c r="CH119" s="25"/>
      <c r="CI119" s="25"/>
      <c r="CJ119" s="25"/>
      <c r="CK119" s="25"/>
      <c r="CL119" s="25"/>
      <c r="CM119" s="25"/>
      <c r="CN119" s="25"/>
      <c r="CO119" s="25"/>
      <c r="CP119" s="25"/>
      <c r="CQ119" s="25"/>
      <c r="CR119" s="25"/>
      <c r="CS119" s="25"/>
      <c r="CT119" s="25"/>
      <c r="CU119" s="25"/>
      <c r="CV119" s="25"/>
      <c r="CW119" s="25"/>
      <c r="CX119" s="25"/>
      <c r="CY119" s="25"/>
      <c r="CZ119" s="25"/>
      <c r="DA119" s="25"/>
      <c r="DB119" s="25"/>
      <c r="DC119" s="25"/>
      <c r="DD119" s="25"/>
      <c r="DE119" s="25"/>
      <c r="DF119" s="25"/>
      <c r="DG119" s="25"/>
      <c r="DH119" s="25"/>
      <c r="DI119" s="25"/>
      <c r="DJ119" s="25"/>
      <c r="DK119" s="25"/>
      <c r="DL119" s="25"/>
      <c r="DM119" s="25"/>
      <c r="DN119" s="25"/>
      <c r="DO119" s="25"/>
      <c r="DP119" s="25"/>
      <c r="DQ119" s="25"/>
      <c r="DR119" s="25"/>
      <c r="DS119" s="25"/>
      <c r="DT119" s="25"/>
      <c r="DU119" s="25"/>
      <c r="DV119" s="25"/>
      <c r="DW119" s="25"/>
      <c r="DX119" s="25"/>
      <c r="DY119" s="25"/>
      <c r="DZ119" s="25"/>
      <c r="EA119" s="25"/>
      <c r="EB119" s="25"/>
      <c r="EC119" s="25"/>
      <c r="ED119" s="25"/>
      <c r="EE119" s="25"/>
      <c r="EF119" s="25"/>
      <c r="EG119" s="25"/>
      <c r="EH119" s="25"/>
      <c r="EI119" s="25"/>
      <c r="EJ119" s="25"/>
      <c r="EK119" s="25"/>
      <c r="EL119" s="25"/>
      <c r="EM119" s="25"/>
      <c r="EN119" s="25"/>
      <c r="EO119" s="25"/>
      <c r="EP119" s="25"/>
      <c r="EQ119" s="25"/>
      <c r="ER119" s="25"/>
      <c r="ES119" s="25"/>
      <c r="ET119" s="25"/>
      <c r="EU119" s="25"/>
      <c r="EV119" s="25"/>
      <c r="EW119" s="25"/>
      <c r="EX119" s="25"/>
      <c r="EY119" s="25"/>
      <c r="EZ119" s="25"/>
      <c r="FA119" s="25"/>
      <c r="FB119" s="25"/>
      <c r="FC119" s="25"/>
      <c r="FD119" s="25"/>
      <c r="FE119" s="25"/>
      <c r="FF119" s="25"/>
      <c r="FG119" s="25"/>
      <c r="FH119" s="25"/>
      <c r="FI119" s="25"/>
      <c r="FJ119" s="25"/>
      <c r="FK119" s="25"/>
      <c r="FL119" s="25"/>
      <c r="FM119" s="25"/>
      <c r="FN119" s="25"/>
      <c r="FO119" s="25"/>
      <c r="FP119" s="25"/>
      <c r="FQ119" s="25"/>
      <c r="FR119" s="25"/>
      <c r="FS119" s="25"/>
      <c r="FT119" s="25"/>
      <c r="FU119" s="25"/>
      <c r="FV119" s="25"/>
      <c r="FW119" s="25"/>
      <c r="FX119" s="25"/>
      <c r="FY119" s="25"/>
      <c r="FZ119" s="25"/>
      <c r="GA119" s="25"/>
      <c r="GB119" s="25"/>
      <c r="GC119" s="25"/>
      <c r="GD119" s="25"/>
      <c r="GE119" s="25"/>
      <c r="GF119" s="25"/>
      <c r="GG119" s="25"/>
      <c r="GH119" s="25"/>
      <c r="GI119" s="25"/>
      <c r="GJ119" s="25"/>
      <c r="GK119" s="25"/>
      <c r="GL119" s="25"/>
      <c r="GM119" s="25"/>
      <c r="GN119" s="25"/>
      <c r="GO119" s="25"/>
      <c r="GP119" s="25"/>
      <c r="GQ119" s="25"/>
      <c r="GR119" s="25"/>
      <c r="GS119" s="25"/>
      <c r="GT119" s="25"/>
      <c r="GU119" s="25"/>
      <c r="GV119" s="25"/>
      <c r="GW119" s="25"/>
      <c r="GX119" s="25"/>
      <c r="GY119" s="25"/>
      <c r="GZ119" s="25"/>
      <c r="HA119" s="25"/>
      <c r="HB119" s="25"/>
      <c r="HC119" s="25"/>
      <c r="HD119" s="25"/>
      <c r="HE119" s="25"/>
      <c r="HF119" s="25"/>
      <c r="HG119" s="25"/>
      <c r="HH119" s="25"/>
      <c r="HI119" s="25"/>
      <c r="HJ119" s="25"/>
      <c r="HK119" s="25"/>
      <c r="HL119" s="25"/>
      <c r="HM119" s="25"/>
      <c r="HN119" s="25"/>
      <c r="HO119" s="25"/>
      <c r="HP119" s="25"/>
      <c r="HQ119" s="25"/>
      <c r="HR119" s="25"/>
      <c r="HS119" s="25"/>
      <c r="HT119" s="25"/>
      <c r="HU119" s="25"/>
      <c r="HV119" s="25"/>
      <c r="HW119" s="25"/>
      <c r="HX119" s="25"/>
      <c r="HY119" s="25"/>
      <c r="HZ119" s="25"/>
      <c r="IA119" s="25"/>
      <c r="IB119" s="25"/>
      <c r="IC119" s="25"/>
      <c r="ID119" s="25"/>
      <c r="IE119" s="25"/>
      <c r="IF119" s="25"/>
      <c r="IG119" s="25"/>
      <c r="IH119" s="25"/>
      <c r="II119" s="25"/>
      <c r="IJ119" s="25"/>
      <c r="IK119" s="25"/>
      <c r="IL119" s="25"/>
      <c r="IM119" s="25"/>
      <c r="IN119" s="25"/>
      <c r="IO119" s="25"/>
      <c r="IP119" s="25"/>
      <c r="IQ119" s="25"/>
      <c r="IR119" s="25"/>
      <c r="IS119" s="25"/>
    </row>
    <row r="120" spans="1:253" ht="15.75">
      <c r="A120" s="25"/>
      <c r="B120" s="207" t="s">
        <v>25</v>
      </c>
      <c r="C120" s="207"/>
      <c r="D120" s="207"/>
      <c r="E120" s="207"/>
      <c r="F120" s="207"/>
      <c r="G120" s="32" t="s">
        <v>9</v>
      </c>
      <c r="H120" s="33"/>
      <c r="I120" s="33"/>
      <c r="J120" s="33"/>
      <c r="K120" s="33"/>
      <c r="L120" s="207" t="s">
        <v>26</v>
      </c>
      <c r="M120" s="207"/>
      <c r="N120" s="207"/>
      <c r="O120" s="34"/>
      <c r="P120" s="31"/>
      <c r="Q120" s="27"/>
      <c r="R120" s="27"/>
      <c r="S120" s="27"/>
      <c r="T120" s="25"/>
      <c r="U120" s="35"/>
      <c r="V120" s="25"/>
      <c r="W120" s="25"/>
      <c r="X120" s="25"/>
      <c r="Y120" s="25"/>
      <c r="Z120" s="25"/>
      <c r="AA120" s="25"/>
      <c r="AB120" s="25"/>
      <c r="AC120" s="25"/>
      <c r="AD120" s="25"/>
      <c r="AE120" s="25"/>
      <c r="AF120" s="25"/>
      <c r="AG120" s="25"/>
      <c r="AH120" s="25"/>
      <c r="AI120" s="25"/>
      <c r="AJ120" s="25"/>
      <c r="AK120" s="25"/>
      <c r="AL120" s="25"/>
      <c r="AM120" s="25"/>
      <c r="AN120" s="25"/>
      <c r="AO120" s="25"/>
      <c r="AP120" s="25"/>
      <c r="AQ120" s="25"/>
      <c r="AR120" s="25"/>
      <c r="AS120" s="25"/>
      <c r="AT120" s="25"/>
      <c r="AU120" s="25"/>
      <c r="AV120" s="25"/>
      <c r="AW120" s="25"/>
      <c r="AX120" s="25"/>
      <c r="AY120" s="25"/>
      <c r="AZ120" s="25"/>
      <c r="BA120" s="25"/>
      <c r="BB120" s="25"/>
      <c r="BC120" s="25"/>
      <c r="BD120" s="25"/>
      <c r="BE120" s="25"/>
      <c r="BF120" s="25"/>
      <c r="BG120" s="25"/>
      <c r="BH120" s="25"/>
      <c r="BI120" s="25"/>
      <c r="BJ120" s="25"/>
      <c r="BK120" s="25"/>
      <c r="BL120" s="25"/>
      <c r="BM120" s="25"/>
      <c r="BN120" s="25"/>
      <c r="BO120" s="25"/>
      <c r="BP120" s="25"/>
      <c r="BQ120" s="25"/>
      <c r="BR120" s="25"/>
      <c r="BS120" s="25"/>
      <c r="BT120" s="25"/>
      <c r="BU120" s="25"/>
      <c r="BV120" s="25"/>
      <c r="BW120" s="25"/>
      <c r="BX120" s="25"/>
      <c r="BY120" s="25"/>
      <c r="BZ120" s="25"/>
      <c r="CA120" s="25"/>
      <c r="CB120" s="25"/>
      <c r="CC120" s="25"/>
      <c r="CD120" s="25"/>
      <c r="CE120" s="25"/>
      <c r="CF120" s="25"/>
      <c r="CG120" s="25"/>
      <c r="CH120" s="25"/>
      <c r="CI120" s="25"/>
      <c r="CJ120" s="25"/>
      <c r="CK120" s="25"/>
      <c r="CL120" s="25"/>
      <c r="CM120" s="25"/>
      <c r="CN120" s="25"/>
      <c r="CO120" s="25"/>
      <c r="CP120" s="25"/>
      <c r="CQ120" s="25"/>
      <c r="CR120" s="25"/>
      <c r="CS120" s="25"/>
      <c r="CT120" s="25"/>
      <c r="CU120" s="25"/>
      <c r="CV120" s="25"/>
      <c r="CW120" s="25"/>
      <c r="CX120" s="25"/>
      <c r="CY120" s="25"/>
      <c r="CZ120" s="25"/>
      <c r="DA120" s="25"/>
      <c r="DB120" s="25"/>
      <c r="DC120" s="25"/>
      <c r="DD120" s="25"/>
      <c r="DE120" s="25"/>
      <c r="DF120" s="25"/>
      <c r="DG120" s="25"/>
      <c r="DH120" s="25"/>
      <c r="DI120" s="25"/>
      <c r="DJ120" s="25"/>
      <c r="DK120" s="25"/>
      <c r="DL120" s="25"/>
      <c r="DM120" s="25"/>
      <c r="DN120" s="25"/>
      <c r="DO120" s="25"/>
      <c r="DP120" s="25"/>
      <c r="DQ120" s="25"/>
      <c r="DR120" s="25"/>
      <c r="DS120" s="25"/>
      <c r="DT120" s="25"/>
      <c r="DU120" s="25"/>
      <c r="DV120" s="25"/>
      <c r="DW120" s="25"/>
      <c r="DX120" s="25"/>
      <c r="DY120" s="25"/>
      <c r="DZ120" s="25"/>
      <c r="EA120" s="25"/>
      <c r="EB120" s="25"/>
      <c r="EC120" s="25"/>
      <c r="ED120" s="25"/>
      <c r="EE120" s="25"/>
      <c r="EF120" s="25"/>
      <c r="EG120" s="25"/>
      <c r="EH120" s="25"/>
      <c r="EI120" s="25"/>
      <c r="EJ120" s="25"/>
      <c r="EK120" s="25"/>
      <c r="EL120" s="25"/>
      <c r="EM120" s="25"/>
      <c r="EN120" s="25"/>
      <c r="EO120" s="25"/>
      <c r="EP120" s="25"/>
      <c r="EQ120" s="25"/>
      <c r="ER120" s="25"/>
      <c r="ES120" s="25"/>
      <c r="ET120" s="25"/>
      <c r="EU120" s="25"/>
      <c r="EV120" s="25"/>
      <c r="EW120" s="25"/>
      <c r="EX120" s="25"/>
      <c r="EY120" s="25"/>
      <c r="EZ120" s="25"/>
      <c r="FA120" s="25"/>
      <c r="FB120" s="25"/>
      <c r="FC120" s="25"/>
      <c r="FD120" s="25"/>
      <c r="FE120" s="25"/>
      <c r="FF120" s="25"/>
      <c r="FG120" s="25"/>
      <c r="FH120" s="25"/>
      <c r="FI120" s="25"/>
      <c r="FJ120" s="25"/>
      <c r="FK120" s="25"/>
      <c r="FL120" s="25"/>
      <c r="FM120" s="25"/>
      <c r="FN120" s="25"/>
      <c r="FO120" s="25"/>
      <c r="FP120" s="25"/>
      <c r="FQ120" s="25"/>
      <c r="FR120" s="25"/>
      <c r="FS120" s="25"/>
      <c r="FT120" s="25"/>
      <c r="FU120" s="25"/>
      <c r="FV120" s="25"/>
      <c r="FW120" s="25"/>
      <c r="FX120" s="25"/>
      <c r="FY120" s="25"/>
      <c r="FZ120" s="25"/>
      <c r="GA120" s="25"/>
      <c r="GB120" s="25"/>
      <c r="GC120" s="25"/>
      <c r="GD120" s="25"/>
      <c r="GE120" s="25"/>
      <c r="GF120" s="25"/>
      <c r="GG120" s="25"/>
      <c r="GH120" s="25"/>
      <c r="GI120" s="25"/>
      <c r="GJ120" s="25"/>
      <c r="GK120" s="25"/>
      <c r="GL120" s="25"/>
      <c r="GM120" s="25"/>
      <c r="GN120" s="25"/>
      <c r="GO120" s="25"/>
      <c r="GP120" s="25"/>
      <c r="GQ120" s="25"/>
      <c r="GR120" s="25"/>
      <c r="GS120" s="25"/>
      <c r="GT120" s="25"/>
      <c r="GU120" s="25"/>
      <c r="GV120" s="25"/>
      <c r="GW120" s="25"/>
      <c r="GX120" s="25"/>
      <c r="GY120" s="25"/>
      <c r="GZ120" s="25"/>
      <c r="HA120" s="25"/>
      <c r="HB120" s="25"/>
      <c r="HC120" s="25"/>
      <c r="HD120" s="25"/>
      <c r="HE120" s="25"/>
      <c r="HF120" s="25"/>
      <c r="HG120" s="25"/>
      <c r="HH120" s="25"/>
      <c r="HI120" s="25"/>
      <c r="HJ120" s="25"/>
      <c r="HK120" s="25"/>
      <c r="HL120" s="25"/>
      <c r="HM120" s="25"/>
      <c r="HN120" s="25"/>
      <c r="HO120" s="25"/>
      <c r="HP120" s="25"/>
      <c r="HQ120" s="25"/>
      <c r="HR120" s="25"/>
      <c r="HS120" s="25"/>
      <c r="HT120" s="25"/>
      <c r="HU120" s="25"/>
      <c r="HV120" s="25"/>
      <c r="HW120" s="25"/>
      <c r="HX120" s="25"/>
      <c r="HY120" s="25"/>
      <c r="HZ120" s="25"/>
      <c r="IA120" s="25"/>
      <c r="IB120" s="25"/>
      <c r="IC120" s="25"/>
      <c r="ID120" s="25"/>
      <c r="IE120" s="25"/>
      <c r="IF120" s="25"/>
      <c r="IG120" s="25"/>
      <c r="IH120" s="25"/>
      <c r="II120" s="25"/>
      <c r="IJ120" s="25"/>
      <c r="IK120" s="25"/>
      <c r="IL120" s="25"/>
      <c r="IM120" s="25"/>
      <c r="IN120" s="25"/>
      <c r="IO120" s="25"/>
      <c r="IP120" s="25"/>
      <c r="IQ120" s="25"/>
      <c r="IR120" s="25"/>
      <c r="IS120" s="25"/>
    </row>
    <row r="121" spans="1:253" s="25" customFormat="1" ht="15.75">
      <c r="B121" s="207" t="s">
        <v>27</v>
      </c>
      <c r="C121" s="207"/>
      <c r="D121" s="207"/>
      <c r="E121" s="207"/>
      <c r="F121" s="207"/>
      <c r="G121" s="32" t="s">
        <v>9</v>
      </c>
      <c r="H121" s="36"/>
      <c r="I121" s="36"/>
      <c r="J121" s="36"/>
      <c r="K121" s="36"/>
      <c r="L121" s="207" t="s">
        <v>28</v>
      </c>
      <c r="M121" s="207"/>
      <c r="N121" s="207"/>
      <c r="O121" s="34"/>
      <c r="P121" s="31"/>
      <c r="Q121" s="27"/>
      <c r="R121" s="27"/>
      <c r="S121" s="27"/>
      <c r="U121" s="35"/>
    </row>
    <row r="122" spans="1:253">
      <c r="A122" s="25"/>
      <c r="B122" s="207" t="s">
        <v>29</v>
      </c>
      <c r="C122" s="207"/>
      <c r="D122" s="207"/>
      <c r="E122" s="207"/>
      <c r="F122" s="207"/>
      <c r="G122" s="32" t="s">
        <v>9</v>
      </c>
      <c r="H122" s="37"/>
      <c r="I122" s="37"/>
      <c r="J122" s="38"/>
      <c r="K122" s="37"/>
      <c r="L122" s="37"/>
      <c r="M122" s="37"/>
      <c r="N122" s="37"/>
      <c r="O122" s="37"/>
      <c r="P122" s="26"/>
      <c r="Q122" s="27"/>
      <c r="R122" s="27"/>
      <c r="S122" s="27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  <c r="HB122"/>
      <c r="HC122"/>
      <c r="HD122"/>
      <c r="HE122"/>
      <c r="HF122"/>
      <c r="HG122"/>
      <c r="HH122"/>
      <c r="HI122"/>
      <c r="HJ122"/>
      <c r="HK122"/>
      <c r="HL122"/>
      <c r="HM122"/>
      <c r="HN122"/>
      <c r="HO122"/>
      <c r="HP122"/>
      <c r="HQ122"/>
      <c r="HR122"/>
      <c r="HS122"/>
      <c r="HT122"/>
      <c r="HU122"/>
      <c r="HV122"/>
      <c r="HW122"/>
      <c r="HX122"/>
      <c r="HY122"/>
      <c r="HZ122"/>
      <c r="IA122"/>
      <c r="IB122"/>
      <c r="IC122"/>
      <c r="ID122"/>
      <c r="IE122"/>
      <c r="IF122"/>
      <c r="IG122"/>
      <c r="IH122"/>
      <c r="II122"/>
      <c r="IJ122"/>
      <c r="IK122"/>
      <c r="IL122"/>
      <c r="IM122"/>
      <c r="IN122"/>
      <c r="IO122"/>
      <c r="IP122"/>
      <c r="IQ122"/>
      <c r="IR122"/>
    </row>
    <row r="123" spans="1:253" s="25" customFormat="1">
      <c r="J123" s="24"/>
      <c r="P123" s="26"/>
      <c r="Q123" s="27"/>
      <c r="R123" s="27"/>
      <c r="S123" s="27"/>
      <c r="U123" s="35"/>
    </row>
    <row r="124" spans="1:253" s="25" customFormat="1">
      <c r="A124" s="39" t="s">
        <v>30</v>
      </c>
      <c r="J124" s="24"/>
      <c r="M124" s="40" t="s">
        <v>31</v>
      </c>
      <c r="P124" s="6"/>
      <c r="Q124" s="27"/>
      <c r="R124" s="27"/>
      <c r="S124" s="27"/>
      <c r="U124" s="35"/>
    </row>
    <row r="125" spans="1:253" s="25" customFormat="1">
      <c r="J125" s="24"/>
      <c r="P125" s="26"/>
      <c r="Q125" s="27"/>
      <c r="R125" s="27"/>
      <c r="S125" s="27"/>
      <c r="U125" s="35"/>
    </row>
    <row r="126" spans="1:253">
      <c r="A126" s="25"/>
      <c r="B126" s="25"/>
      <c r="C126" s="25"/>
      <c r="D126" s="25"/>
      <c r="E126" s="25"/>
      <c r="F126" s="25"/>
      <c r="G126" s="25"/>
      <c r="H126" s="25"/>
      <c r="I126" s="25"/>
      <c r="J126" s="24"/>
      <c r="K126" s="25"/>
      <c r="L126" s="25"/>
      <c r="M126" s="25"/>
      <c r="N126" s="25"/>
      <c r="O126" s="25"/>
      <c r="P126" s="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  <c r="HB126"/>
      <c r="HC126"/>
      <c r="HD126"/>
      <c r="HE126"/>
      <c r="HF126"/>
      <c r="HG126"/>
      <c r="HH126"/>
      <c r="HI126"/>
      <c r="HJ126"/>
      <c r="HK126"/>
      <c r="HL126"/>
      <c r="HM126"/>
      <c r="HN126"/>
      <c r="HO126"/>
      <c r="HP126"/>
      <c r="HQ126"/>
      <c r="HR126"/>
      <c r="HS126"/>
      <c r="HT126"/>
      <c r="HU126"/>
      <c r="HV126"/>
      <c r="HW126"/>
      <c r="HX126"/>
      <c r="HY126"/>
      <c r="HZ126"/>
      <c r="IA126"/>
      <c r="IB126"/>
      <c r="IC126"/>
      <c r="ID126"/>
      <c r="IE126"/>
      <c r="IF126"/>
      <c r="IG126"/>
      <c r="IH126"/>
      <c r="II126"/>
      <c r="IJ126"/>
      <c r="IK126"/>
      <c r="IL126"/>
      <c r="IM126"/>
      <c r="IN126"/>
      <c r="IO126"/>
      <c r="IP126"/>
      <c r="IQ126"/>
      <c r="IR126"/>
    </row>
    <row r="127" spans="1:253">
      <c r="A127" s="25"/>
      <c r="B127" s="25"/>
      <c r="C127" s="25"/>
      <c r="D127" s="25"/>
      <c r="E127" s="25"/>
      <c r="F127" s="25"/>
      <c r="G127" s="25"/>
      <c r="H127" s="25"/>
      <c r="I127" s="25"/>
      <c r="J127" s="24"/>
      <c r="K127" s="25"/>
      <c r="L127" s="25"/>
      <c r="M127" s="25"/>
      <c r="N127" s="25"/>
      <c r="O127" s="25"/>
      <c r="P127" s="26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  <c r="HB127"/>
      <c r="HC127"/>
      <c r="HD127"/>
      <c r="HE127"/>
      <c r="HF127"/>
      <c r="HG127"/>
      <c r="HH127"/>
      <c r="HI127"/>
      <c r="HJ127"/>
      <c r="HK127"/>
      <c r="HL127"/>
      <c r="HM127"/>
      <c r="HN127"/>
      <c r="HO127"/>
      <c r="HP127"/>
      <c r="HQ127"/>
      <c r="HR127"/>
      <c r="HS127"/>
      <c r="HT127"/>
      <c r="HU127"/>
      <c r="HV127"/>
      <c r="HW127"/>
      <c r="HX127"/>
      <c r="HY127"/>
      <c r="HZ127"/>
      <c r="IA127"/>
      <c r="IB127"/>
      <c r="IC127"/>
      <c r="ID127"/>
      <c r="IE127"/>
      <c r="IF127"/>
      <c r="IG127"/>
      <c r="IH127"/>
      <c r="II127"/>
      <c r="IJ127"/>
      <c r="IK127"/>
      <c r="IL127"/>
      <c r="IM127"/>
      <c r="IN127"/>
      <c r="IO127"/>
      <c r="IP127"/>
      <c r="IQ127"/>
      <c r="IR127"/>
    </row>
    <row r="128" spans="1:253">
      <c r="A128" s="37"/>
      <c r="B128" s="37"/>
      <c r="C128" s="37"/>
      <c r="D128" s="37"/>
      <c r="E128" s="37"/>
      <c r="F128" s="37"/>
      <c r="G128" s="25"/>
      <c r="H128" s="25"/>
      <c r="I128" s="25"/>
      <c r="J128" s="24"/>
      <c r="K128" s="25"/>
      <c r="L128" s="25"/>
      <c r="M128" s="41"/>
      <c r="N128" s="41"/>
      <c r="O128" s="41"/>
      <c r="P128" s="42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  <c r="HB128"/>
      <c r="HC128"/>
      <c r="HD128"/>
      <c r="HE128"/>
      <c r="HF128"/>
      <c r="HG128"/>
      <c r="HH128"/>
      <c r="HI128"/>
      <c r="HJ128"/>
      <c r="HK128"/>
      <c r="HL128"/>
      <c r="HM128"/>
      <c r="HN128"/>
      <c r="HO128"/>
      <c r="HP128"/>
      <c r="HQ128"/>
      <c r="HR128"/>
      <c r="HS128"/>
      <c r="HT128"/>
      <c r="HU128"/>
      <c r="HV128"/>
      <c r="HW128"/>
      <c r="HX128"/>
      <c r="HY128"/>
      <c r="HZ128"/>
      <c r="IA128"/>
      <c r="IB128"/>
      <c r="IC128"/>
      <c r="ID128"/>
      <c r="IE128"/>
      <c r="IF128"/>
      <c r="IG128"/>
      <c r="IH128"/>
      <c r="II128"/>
      <c r="IJ128"/>
      <c r="IK128"/>
      <c r="IL128"/>
      <c r="IM128"/>
      <c r="IN128"/>
      <c r="IO128"/>
      <c r="IP128"/>
      <c r="IQ128"/>
      <c r="IR128"/>
    </row>
    <row r="129" spans="1:252">
      <c r="A129" s="43" t="s">
        <v>32</v>
      </c>
      <c r="B129" s="43"/>
      <c r="C129" s="28"/>
      <c r="D129" s="32" t="s">
        <v>9</v>
      </c>
      <c r="E129" s="28"/>
      <c r="F129" s="28"/>
      <c r="G129" s="28"/>
      <c r="H129" s="28"/>
      <c r="I129" s="28"/>
      <c r="J129" s="44"/>
      <c r="K129" s="44"/>
      <c r="L129" s="28"/>
      <c r="M129" s="45" t="s">
        <v>39</v>
      </c>
      <c r="N129" s="45"/>
      <c r="O129" s="45"/>
      <c r="P129" s="28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  <c r="HB129"/>
      <c r="HC129"/>
      <c r="HD129"/>
      <c r="HE129"/>
      <c r="HF129"/>
      <c r="HG129"/>
      <c r="HH129"/>
      <c r="HI129"/>
      <c r="HJ129"/>
      <c r="HK129"/>
      <c r="HL129"/>
      <c r="HM129"/>
      <c r="HN129"/>
      <c r="HO129"/>
      <c r="HP129"/>
      <c r="HQ129"/>
      <c r="HR129"/>
      <c r="HS129"/>
      <c r="HT129"/>
      <c r="HU129"/>
      <c r="HV129"/>
      <c r="HW129"/>
      <c r="HX129"/>
      <c r="HY129"/>
      <c r="HZ129"/>
      <c r="IA129"/>
      <c r="IB129"/>
      <c r="IC129"/>
      <c r="ID129"/>
      <c r="IE129"/>
      <c r="IF129"/>
      <c r="IG129"/>
      <c r="IH129"/>
      <c r="II129"/>
      <c r="IJ129"/>
      <c r="IK129"/>
      <c r="IL129"/>
      <c r="IM129"/>
      <c r="IN129"/>
      <c r="IO129"/>
      <c r="IP129"/>
      <c r="IQ129"/>
      <c r="IR129"/>
    </row>
    <row r="130" spans="1:252">
      <c r="A130" s="28" t="s">
        <v>33</v>
      </c>
      <c r="B130" s="28"/>
      <c r="C130" s="28"/>
      <c r="D130" s="32" t="s">
        <v>9</v>
      </c>
      <c r="E130" s="28" t="s">
        <v>34</v>
      </c>
      <c r="F130" s="28"/>
      <c r="G130" s="28"/>
      <c r="H130" s="28"/>
      <c r="I130" s="28"/>
      <c r="J130" s="46"/>
      <c r="K130" s="28"/>
      <c r="L130" s="28"/>
      <c r="M130" s="28" t="s">
        <v>35</v>
      </c>
      <c r="N130" s="28"/>
      <c r="O130" s="47"/>
      <c r="P130" s="28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  <c r="HB130"/>
      <c r="HC130"/>
      <c r="HD130"/>
      <c r="HE130"/>
      <c r="HF130"/>
      <c r="HG130"/>
      <c r="HH130"/>
      <c r="HI130"/>
      <c r="HJ130"/>
      <c r="HK130"/>
      <c r="HL130"/>
      <c r="HM130"/>
      <c r="HN130"/>
      <c r="HO130"/>
      <c r="HP130"/>
      <c r="HQ130"/>
      <c r="HR130"/>
      <c r="HS130"/>
      <c r="HT130"/>
      <c r="HU130"/>
      <c r="HV130"/>
      <c r="HW130"/>
      <c r="HX130"/>
      <c r="HY130"/>
      <c r="HZ130"/>
      <c r="IA130"/>
      <c r="IB130"/>
      <c r="IC130"/>
      <c r="ID130"/>
      <c r="IE130"/>
      <c r="IF130"/>
      <c r="IG130"/>
      <c r="IH130"/>
      <c r="II130"/>
      <c r="IJ130"/>
      <c r="IK130"/>
      <c r="IL130"/>
      <c r="IM130"/>
      <c r="IN130"/>
      <c r="IO130"/>
      <c r="IP130"/>
      <c r="IQ130"/>
      <c r="IR130"/>
    </row>
    <row r="131" spans="1:252">
      <c r="A131" s="48" t="s">
        <v>36</v>
      </c>
      <c r="B131" s="48"/>
      <c r="C131" s="28"/>
      <c r="D131" s="32" t="s">
        <v>9</v>
      </c>
      <c r="E131" s="49"/>
      <c r="F131" s="49"/>
      <c r="G131" s="49"/>
      <c r="H131" s="28"/>
      <c r="I131" s="28"/>
      <c r="J131" s="46"/>
      <c r="K131" s="28"/>
      <c r="L131" s="28"/>
      <c r="M131" s="32" t="s">
        <v>37</v>
      </c>
      <c r="N131" s="47"/>
      <c r="O131" s="47"/>
      <c r="P131" s="28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  <c r="HB131"/>
      <c r="HC131"/>
      <c r="HD131"/>
      <c r="HE131"/>
      <c r="HF131"/>
      <c r="HG131"/>
      <c r="HH131"/>
      <c r="HI131"/>
      <c r="HJ131"/>
      <c r="HK131"/>
      <c r="HL131"/>
      <c r="HM131"/>
      <c r="HN131"/>
      <c r="HO131"/>
      <c r="HP131"/>
      <c r="HQ131"/>
      <c r="HR131"/>
      <c r="HS131"/>
      <c r="HT131"/>
      <c r="HU131"/>
      <c r="HV131"/>
      <c r="HW131"/>
      <c r="HX131"/>
      <c r="HY131"/>
      <c r="HZ131"/>
      <c r="IA131"/>
      <c r="IB131"/>
      <c r="IC131"/>
      <c r="ID131"/>
      <c r="IE131"/>
      <c r="IF131"/>
      <c r="IG131"/>
      <c r="IH131"/>
      <c r="II131"/>
      <c r="IJ131"/>
      <c r="IK131"/>
      <c r="IL131"/>
      <c r="IM131"/>
      <c r="IN131"/>
      <c r="IO131"/>
      <c r="IP131"/>
      <c r="IQ131"/>
      <c r="IR131"/>
    </row>
    <row r="132" spans="1:252"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  <c r="HB132"/>
      <c r="HC132"/>
      <c r="HD132"/>
      <c r="HE132"/>
      <c r="HF132"/>
      <c r="HG132"/>
      <c r="HH132"/>
      <c r="HI132"/>
      <c r="HJ132"/>
      <c r="HK132"/>
      <c r="HL132"/>
      <c r="HM132"/>
      <c r="HN132"/>
      <c r="HO132"/>
      <c r="HP132"/>
      <c r="HQ132"/>
      <c r="HR132"/>
      <c r="HS132"/>
      <c r="HT132"/>
      <c r="HU132"/>
      <c r="HV132"/>
      <c r="HW132"/>
      <c r="HX132"/>
      <c r="HY132"/>
      <c r="HZ132"/>
      <c r="IA132"/>
      <c r="IB132"/>
      <c r="IC132"/>
      <c r="ID132"/>
      <c r="IE132"/>
      <c r="IF132"/>
      <c r="IG132"/>
      <c r="IH132"/>
      <c r="II132"/>
      <c r="IJ132"/>
      <c r="IK132"/>
      <c r="IL132"/>
      <c r="IM132"/>
      <c r="IN132"/>
      <c r="IO132"/>
      <c r="IP132"/>
      <c r="IQ132"/>
      <c r="IR132"/>
    </row>
    <row r="133" spans="1:252"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  <c r="HB133"/>
      <c r="HC133"/>
      <c r="HD133"/>
      <c r="HE133"/>
      <c r="HF133"/>
      <c r="HG133"/>
      <c r="HH133"/>
      <c r="HI133"/>
      <c r="HJ133"/>
      <c r="HK133"/>
      <c r="HL133"/>
      <c r="HM133"/>
      <c r="HN133"/>
      <c r="HO133"/>
      <c r="HP133"/>
      <c r="HQ133"/>
      <c r="HR133"/>
      <c r="HS133"/>
      <c r="HT133"/>
      <c r="HU133"/>
      <c r="HV133"/>
      <c r="HW133"/>
      <c r="HX133"/>
      <c r="HY133"/>
      <c r="HZ133"/>
      <c r="IA133"/>
      <c r="IB133"/>
      <c r="IC133"/>
      <c r="ID133"/>
      <c r="IE133"/>
      <c r="IF133"/>
      <c r="IG133"/>
      <c r="IH133"/>
      <c r="II133"/>
      <c r="IJ133"/>
      <c r="IK133"/>
      <c r="IL133"/>
      <c r="IM133"/>
      <c r="IN133"/>
      <c r="IO133"/>
      <c r="IP133"/>
      <c r="IQ133"/>
      <c r="IR133"/>
    </row>
    <row r="134" spans="1:252"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  <c r="HB134"/>
      <c r="HC134"/>
      <c r="HD134"/>
      <c r="HE134"/>
      <c r="HF134"/>
      <c r="HG134"/>
      <c r="HH134"/>
      <c r="HI134"/>
      <c r="HJ134"/>
      <c r="HK134"/>
      <c r="HL134"/>
      <c r="HM134"/>
      <c r="HN134"/>
      <c r="HO134"/>
      <c r="HP134"/>
      <c r="HQ134"/>
      <c r="HR134"/>
      <c r="HS134"/>
      <c r="HT134"/>
      <c r="HU134"/>
      <c r="HV134"/>
      <c r="HW134"/>
      <c r="HX134"/>
      <c r="HY134"/>
      <c r="HZ134"/>
      <c r="IA134"/>
      <c r="IB134"/>
      <c r="IC134"/>
      <c r="ID134"/>
      <c r="IE134"/>
      <c r="IF134"/>
      <c r="IG134"/>
      <c r="IH134"/>
      <c r="II134"/>
      <c r="IJ134"/>
      <c r="IK134"/>
      <c r="IL134"/>
      <c r="IM134"/>
      <c r="IN134"/>
      <c r="IO134"/>
      <c r="IP134"/>
      <c r="IQ134"/>
      <c r="IR134"/>
    </row>
    <row r="135" spans="1:252"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  <c r="HB135"/>
      <c r="HC135"/>
      <c r="HD135"/>
      <c r="HE135"/>
      <c r="HF135"/>
      <c r="HG135"/>
      <c r="HH135"/>
      <c r="HI135"/>
      <c r="HJ135"/>
      <c r="HK135"/>
      <c r="HL135"/>
      <c r="HM135"/>
      <c r="HN135"/>
      <c r="HO135"/>
      <c r="HP135"/>
      <c r="HQ135"/>
      <c r="HR135"/>
      <c r="HS135"/>
      <c r="HT135"/>
      <c r="HU135"/>
      <c r="HV135"/>
      <c r="HW135"/>
      <c r="HX135"/>
      <c r="HY135"/>
      <c r="HZ135"/>
      <c r="IA135"/>
      <c r="IB135"/>
      <c r="IC135"/>
      <c r="ID135"/>
      <c r="IE135"/>
      <c r="IF135"/>
      <c r="IG135"/>
      <c r="IH135"/>
      <c r="II135"/>
      <c r="IJ135"/>
      <c r="IK135"/>
      <c r="IL135"/>
      <c r="IM135"/>
      <c r="IN135"/>
      <c r="IO135"/>
      <c r="IP135"/>
      <c r="IQ135"/>
      <c r="IR135"/>
    </row>
    <row r="136" spans="1:252"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  <c r="HB136"/>
      <c r="HC136"/>
      <c r="HD136"/>
      <c r="HE136"/>
      <c r="HF136"/>
      <c r="HG136"/>
      <c r="HH136"/>
      <c r="HI136"/>
      <c r="HJ136"/>
      <c r="HK136"/>
      <c r="HL136"/>
      <c r="HM136"/>
      <c r="HN136"/>
      <c r="HO136"/>
      <c r="HP136"/>
      <c r="HQ136"/>
      <c r="HR136"/>
      <c r="HS136"/>
      <c r="HT136"/>
      <c r="HU136"/>
      <c r="HV136"/>
      <c r="HW136"/>
      <c r="HX136"/>
      <c r="HY136"/>
      <c r="HZ136"/>
      <c r="IA136"/>
      <c r="IB136"/>
      <c r="IC136"/>
      <c r="ID136"/>
      <c r="IE136"/>
      <c r="IF136"/>
      <c r="IG136"/>
      <c r="IH136"/>
      <c r="II136"/>
      <c r="IJ136"/>
      <c r="IK136"/>
      <c r="IL136"/>
      <c r="IM136"/>
      <c r="IN136"/>
      <c r="IO136"/>
      <c r="IP136"/>
      <c r="IQ136"/>
      <c r="IR136"/>
    </row>
    <row r="137" spans="1:252">
      <c r="M137" s="60" t="s">
        <v>38</v>
      </c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  <c r="HB137"/>
      <c r="HC137"/>
      <c r="HD137"/>
      <c r="HE137"/>
      <c r="HF137"/>
      <c r="HG137"/>
      <c r="HH137"/>
      <c r="HI137"/>
      <c r="HJ137"/>
      <c r="HK137"/>
      <c r="HL137"/>
      <c r="HM137"/>
      <c r="HN137"/>
      <c r="HO137"/>
      <c r="HP137"/>
      <c r="HQ137"/>
      <c r="HR137"/>
      <c r="HS137"/>
      <c r="HT137"/>
      <c r="HU137"/>
      <c r="HV137"/>
      <c r="HW137"/>
      <c r="HX137"/>
      <c r="HY137"/>
      <c r="HZ137"/>
      <c r="IA137"/>
      <c r="IB137"/>
      <c r="IC137"/>
      <c r="ID137"/>
      <c r="IE137"/>
      <c r="IF137"/>
      <c r="IG137"/>
      <c r="IH137"/>
      <c r="II137"/>
      <c r="IJ137"/>
      <c r="IK137"/>
      <c r="IL137"/>
      <c r="IM137"/>
      <c r="IN137"/>
      <c r="IO137"/>
      <c r="IP137"/>
      <c r="IQ137"/>
      <c r="IR137"/>
    </row>
    <row r="138" spans="1:252"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  <c r="HB138"/>
      <c r="HC138"/>
      <c r="HD138"/>
      <c r="HE138"/>
      <c r="HF138"/>
      <c r="HG138"/>
      <c r="HH138"/>
      <c r="HI138"/>
      <c r="HJ138"/>
      <c r="HK138"/>
      <c r="HL138"/>
      <c r="HM138"/>
      <c r="HN138"/>
      <c r="HO138"/>
      <c r="HP138"/>
      <c r="HQ138"/>
      <c r="HR138"/>
      <c r="HS138"/>
      <c r="HT138"/>
      <c r="HU138"/>
      <c r="HV138"/>
      <c r="HW138"/>
      <c r="HX138"/>
      <c r="HY138"/>
      <c r="HZ138"/>
      <c r="IA138"/>
      <c r="IB138"/>
      <c r="IC138"/>
      <c r="ID138"/>
      <c r="IE138"/>
      <c r="IF138"/>
      <c r="IG138"/>
      <c r="IH138"/>
      <c r="II138"/>
      <c r="IJ138"/>
      <c r="IK138"/>
      <c r="IL138"/>
      <c r="IM138"/>
      <c r="IN138"/>
      <c r="IO138"/>
      <c r="IP138"/>
      <c r="IQ138"/>
      <c r="IR138"/>
    </row>
    <row r="139" spans="1:252"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  <c r="HB139"/>
      <c r="HC139"/>
      <c r="HD139"/>
      <c r="HE139"/>
      <c r="HF139"/>
      <c r="HG139"/>
      <c r="HH139"/>
      <c r="HI139"/>
      <c r="HJ139"/>
      <c r="HK139"/>
      <c r="HL139"/>
      <c r="HM139"/>
      <c r="HN139"/>
      <c r="HO139"/>
      <c r="HP139"/>
      <c r="HQ139"/>
      <c r="HR139"/>
      <c r="HS139"/>
      <c r="HT139"/>
      <c r="HU139"/>
      <c r="HV139"/>
      <c r="HW139"/>
      <c r="HX139"/>
      <c r="HY139"/>
      <c r="HZ139"/>
      <c r="IA139"/>
      <c r="IB139"/>
      <c r="IC139"/>
      <c r="ID139"/>
      <c r="IE139"/>
      <c r="IF139"/>
      <c r="IG139"/>
      <c r="IH139"/>
      <c r="II139"/>
      <c r="IJ139"/>
      <c r="IK139"/>
      <c r="IL139"/>
      <c r="IM139"/>
      <c r="IN139"/>
      <c r="IO139"/>
      <c r="IP139"/>
      <c r="IQ139"/>
      <c r="IR139"/>
    </row>
    <row r="140" spans="1:252"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  <c r="HB140"/>
      <c r="HC140"/>
      <c r="HD140"/>
      <c r="HE140"/>
      <c r="HF140"/>
      <c r="HG140"/>
      <c r="HH140"/>
      <c r="HI140"/>
      <c r="HJ140"/>
      <c r="HK140"/>
      <c r="HL140"/>
      <c r="HM140"/>
      <c r="HN140"/>
      <c r="HO140"/>
      <c r="HP140"/>
      <c r="HQ140"/>
      <c r="HR140"/>
      <c r="HS140"/>
      <c r="HT140"/>
      <c r="HU140"/>
      <c r="HV140"/>
      <c r="HW140"/>
      <c r="HX140"/>
      <c r="HY140"/>
      <c r="HZ140"/>
      <c r="IA140"/>
      <c r="IB140"/>
      <c r="IC140"/>
      <c r="ID140"/>
      <c r="IE140"/>
      <c r="IF140"/>
      <c r="IG140"/>
      <c r="IH140"/>
      <c r="II140"/>
      <c r="IJ140"/>
      <c r="IK140"/>
      <c r="IL140"/>
      <c r="IM140"/>
      <c r="IN140"/>
      <c r="IO140"/>
      <c r="IP140"/>
      <c r="IQ140"/>
      <c r="IR140"/>
    </row>
    <row r="141" spans="1:252"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  <c r="HB141"/>
      <c r="HC141"/>
      <c r="HD141"/>
      <c r="HE141"/>
      <c r="HF141"/>
      <c r="HG141"/>
      <c r="HH141"/>
      <c r="HI141"/>
      <c r="HJ141"/>
      <c r="HK141"/>
      <c r="HL141"/>
      <c r="HM141"/>
      <c r="HN141"/>
      <c r="HO141"/>
      <c r="HP141"/>
      <c r="HQ141"/>
      <c r="HR141"/>
      <c r="HS141"/>
      <c r="HT141"/>
      <c r="HU141"/>
      <c r="HV141"/>
      <c r="HW141"/>
      <c r="HX141"/>
      <c r="HY141"/>
      <c r="HZ141"/>
      <c r="IA141"/>
      <c r="IB141"/>
      <c r="IC141"/>
      <c r="ID141"/>
      <c r="IE141"/>
      <c r="IF141"/>
      <c r="IG141"/>
      <c r="IH141"/>
      <c r="II141"/>
      <c r="IJ141"/>
      <c r="IK141"/>
      <c r="IL141"/>
      <c r="IM141"/>
      <c r="IN141"/>
      <c r="IO141"/>
      <c r="IP141"/>
      <c r="IQ141"/>
      <c r="IR141"/>
    </row>
    <row r="142" spans="1:252"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  <c r="HB142"/>
      <c r="HC142"/>
      <c r="HD142"/>
      <c r="HE142"/>
      <c r="HF142"/>
      <c r="HG142"/>
      <c r="HH142"/>
      <c r="HI142"/>
      <c r="HJ142"/>
      <c r="HK142"/>
      <c r="HL142"/>
      <c r="HM142"/>
      <c r="HN142"/>
      <c r="HO142"/>
      <c r="HP142"/>
      <c r="HQ142"/>
      <c r="HR142"/>
      <c r="HS142"/>
      <c r="HT142"/>
      <c r="HU142"/>
      <c r="HV142"/>
      <c r="HW142"/>
      <c r="HX142"/>
      <c r="HY142"/>
      <c r="HZ142"/>
      <c r="IA142"/>
      <c r="IB142"/>
      <c r="IC142"/>
      <c r="ID142"/>
      <c r="IE142"/>
      <c r="IF142"/>
      <c r="IG142"/>
      <c r="IH142"/>
      <c r="II142"/>
      <c r="IJ142"/>
      <c r="IK142"/>
      <c r="IL142"/>
      <c r="IM142"/>
      <c r="IN142"/>
      <c r="IO142"/>
      <c r="IP142"/>
      <c r="IQ142"/>
      <c r="IR142"/>
    </row>
    <row r="144" spans="1:25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  <c r="HB144"/>
      <c r="HC144"/>
      <c r="HD144"/>
      <c r="HE144"/>
      <c r="HF144"/>
      <c r="HG144"/>
      <c r="HH144"/>
      <c r="HI144"/>
      <c r="HJ144"/>
      <c r="HK144"/>
      <c r="HL144"/>
      <c r="HM144"/>
      <c r="HN144"/>
      <c r="HO144"/>
      <c r="HP144"/>
      <c r="HQ144"/>
      <c r="HR144"/>
      <c r="HS144"/>
      <c r="HT144"/>
      <c r="HU144"/>
      <c r="HV144"/>
      <c r="HW144"/>
      <c r="HX144"/>
      <c r="HY144"/>
      <c r="HZ144"/>
      <c r="IA144"/>
      <c r="IB144"/>
      <c r="IC144"/>
      <c r="ID144"/>
      <c r="IE144"/>
      <c r="IF144"/>
      <c r="IG144"/>
      <c r="IH144"/>
      <c r="II144"/>
      <c r="IJ144"/>
      <c r="IK144"/>
      <c r="IL144"/>
      <c r="IM144"/>
      <c r="IN144"/>
      <c r="IO144"/>
      <c r="IP144"/>
      <c r="IQ144"/>
      <c r="IR144"/>
    </row>
    <row r="145" spans="1:25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  <c r="HB145"/>
      <c r="HC145"/>
      <c r="HD145"/>
      <c r="HE145"/>
      <c r="HF145"/>
      <c r="HG145"/>
      <c r="HH145"/>
      <c r="HI145"/>
      <c r="HJ145"/>
      <c r="HK145"/>
      <c r="HL145"/>
      <c r="HM145"/>
      <c r="HN145"/>
      <c r="HO145"/>
      <c r="HP145"/>
      <c r="HQ145"/>
      <c r="HR145"/>
      <c r="HS145"/>
      <c r="HT145"/>
      <c r="HU145"/>
      <c r="HV145"/>
      <c r="HW145"/>
      <c r="HX145"/>
      <c r="HY145"/>
      <c r="HZ145"/>
      <c r="IA145"/>
      <c r="IB145"/>
      <c r="IC145"/>
      <c r="ID145"/>
      <c r="IE145"/>
      <c r="IF145"/>
      <c r="IG145"/>
      <c r="IH145"/>
      <c r="II145"/>
      <c r="IJ145"/>
      <c r="IK145"/>
      <c r="IL145"/>
      <c r="IM145"/>
      <c r="IN145"/>
      <c r="IO145"/>
      <c r="IP145"/>
      <c r="IQ145"/>
      <c r="IR145"/>
    </row>
    <row r="146" spans="1:25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  <c r="HB146"/>
      <c r="HC146"/>
      <c r="HD146"/>
      <c r="HE146"/>
      <c r="HF146"/>
      <c r="HG146"/>
      <c r="HH146"/>
      <c r="HI146"/>
      <c r="HJ146"/>
      <c r="HK146"/>
      <c r="HL146"/>
      <c r="HM146"/>
      <c r="HN146"/>
      <c r="HO146"/>
      <c r="HP146"/>
      <c r="HQ146"/>
      <c r="HR146"/>
      <c r="HS146"/>
      <c r="HT146"/>
      <c r="HU146"/>
      <c r="HV146"/>
      <c r="HW146"/>
      <c r="HX146"/>
      <c r="HY146"/>
      <c r="HZ146"/>
      <c r="IA146"/>
      <c r="IB146"/>
      <c r="IC146"/>
      <c r="ID146"/>
      <c r="IE146"/>
      <c r="IF146"/>
      <c r="IG146"/>
      <c r="IH146"/>
      <c r="II146"/>
      <c r="IJ146"/>
      <c r="IK146"/>
      <c r="IL146"/>
      <c r="IM146"/>
      <c r="IN146"/>
      <c r="IO146"/>
      <c r="IP146"/>
      <c r="IQ146"/>
      <c r="IR146"/>
    </row>
    <row r="147" spans="1:25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  <c r="HB147"/>
      <c r="HC147"/>
      <c r="HD147"/>
      <c r="HE147"/>
      <c r="HF147"/>
      <c r="HG147"/>
      <c r="HH147"/>
      <c r="HI147"/>
      <c r="HJ147"/>
      <c r="HK147"/>
      <c r="HL147"/>
      <c r="HM147"/>
      <c r="HN147"/>
      <c r="HO147"/>
      <c r="HP147"/>
      <c r="HQ147"/>
      <c r="HR147"/>
      <c r="HS147"/>
      <c r="HT147"/>
      <c r="HU147"/>
      <c r="HV147"/>
      <c r="HW147"/>
      <c r="HX147"/>
      <c r="HY147"/>
      <c r="HZ147"/>
      <c r="IA147"/>
      <c r="IB147"/>
      <c r="IC147"/>
      <c r="ID147"/>
      <c r="IE147"/>
      <c r="IF147"/>
      <c r="IG147"/>
      <c r="IH147"/>
      <c r="II147"/>
      <c r="IJ147"/>
      <c r="IK147"/>
      <c r="IL147"/>
      <c r="IM147"/>
      <c r="IN147"/>
      <c r="IO147"/>
      <c r="IP147"/>
      <c r="IQ147"/>
      <c r="IR147"/>
    </row>
    <row r="148" spans="1:25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  <c r="HB148"/>
      <c r="HC148"/>
      <c r="HD148"/>
      <c r="HE148"/>
      <c r="HF148"/>
      <c r="HG148"/>
      <c r="HH148"/>
      <c r="HI148"/>
      <c r="HJ148"/>
      <c r="HK148"/>
      <c r="HL148"/>
      <c r="HM148"/>
      <c r="HN148"/>
      <c r="HO148"/>
      <c r="HP148"/>
      <c r="HQ148"/>
      <c r="HR148"/>
      <c r="HS148"/>
      <c r="HT148"/>
      <c r="HU148"/>
      <c r="HV148"/>
      <c r="HW148"/>
      <c r="HX148"/>
      <c r="HY148"/>
      <c r="HZ148"/>
      <c r="IA148"/>
      <c r="IB148"/>
      <c r="IC148"/>
      <c r="ID148"/>
      <c r="IE148"/>
      <c r="IF148"/>
      <c r="IG148"/>
      <c r="IH148"/>
      <c r="II148"/>
      <c r="IJ148"/>
      <c r="IK148"/>
      <c r="IL148"/>
      <c r="IM148"/>
      <c r="IN148"/>
      <c r="IO148"/>
      <c r="IP148"/>
      <c r="IQ148"/>
      <c r="IR148"/>
    </row>
    <row r="149" spans="1:25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  <c r="HB149"/>
      <c r="HC149"/>
      <c r="HD149"/>
      <c r="HE149"/>
      <c r="HF149"/>
      <c r="HG149"/>
      <c r="HH149"/>
      <c r="HI149"/>
      <c r="HJ149"/>
      <c r="HK149"/>
      <c r="HL149"/>
      <c r="HM149"/>
      <c r="HN149"/>
      <c r="HO149"/>
      <c r="HP149"/>
      <c r="HQ149"/>
      <c r="HR149"/>
      <c r="HS149"/>
      <c r="HT149"/>
      <c r="HU149"/>
      <c r="HV149"/>
      <c r="HW149"/>
      <c r="HX149"/>
      <c r="HY149"/>
      <c r="HZ149"/>
      <c r="IA149"/>
      <c r="IB149"/>
      <c r="IC149"/>
      <c r="ID149"/>
      <c r="IE149"/>
      <c r="IF149"/>
      <c r="IG149"/>
      <c r="IH149"/>
      <c r="II149"/>
      <c r="IJ149"/>
      <c r="IK149"/>
      <c r="IL149"/>
      <c r="IM149"/>
      <c r="IN149"/>
      <c r="IO149"/>
      <c r="IP149"/>
      <c r="IQ149"/>
      <c r="IR149"/>
    </row>
    <row r="150" spans="1:25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  <c r="HB150"/>
      <c r="HC150"/>
      <c r="HD150"/>
      <c r="HE150"/>
      <c r="HF150"/>
      <c r="HG150"/>
      <c r="HH150"/>
      <c r="HI150"/>
      <c r="HJ150"/>
      <c r="HK150"/>
      <c r="HL150"/>
      <c r="HM150"/>
      <c r="HN150"/>
      <c r="HO150"/>
      <c r="HP150"/>
      <c r="HQ150"/>
      <c r="HR150"/>
      <c r="HS150"/>
      <c r="HT150"/>
      <c r="HU150"/>
      <c r="HV150"/>
      <c r="HW150"/>
      <c r="HX150"/>
      <c r="HY150"/>
      <c r="HZ150"/>
      <c r="IA150"/>
      <c r="IB150"/>
      <c r="IC150"/>
      <c r="ID150"/>
      <c r="IE150"/>
      <c r="IF150"/>
      <c r="IG150"/>
      <c r="IH150"/>
      <c r="II150"/>
      <c r="IJ150"/>
      <c r="IK150"/>
      <c r="IL150"/>
      <c r="IM150"/>
      <c r="IN150"/>
      <c r="IO150"/>
      <c r="IP150"/>
      <c r="IQ150"/>
      <c r="IR150"/>
    </row>
    <row r="151" spans="1:25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  <c r="HB151"/>
      <c r="HC151"/>
      <c r="HD151"/>
      <c r="HE151"/>
      <c r="HF151"/>
      <c r="HG151"/>
      <c r="HH151"/>
      <c r="HI151"/>
      <c r="HJ151"/>
      <c r="HK151"/>
      <c r="HL151"/>
      <c r="HM151"/>
      <c r="HN151"/>
      <c r="HO151"/>
      <c r="HP151"/>
      <c r="HQ151"/>
      <c r="HR151"/>
      <c r="HS151"/>
      <c r="HT151"/>
      <c r="HU151"/>
      <c r="HV151"/>
      <c r="HW151"/>
      <c r="HX151"/>
      <c r="HY151"/>
      <c r="HZ151"/>
      <c r="IA151"/>
      <c r="IB151"/>
      <c r="IC151"/>
      <c r="ID151"/>
      <c r="IE151"/>
      <c r="IF151"/>
      <c r="IG151"/>
      <c r="IH151"/>
      <c r="II151"/>
      <c r="IJ151"/>
      <c r="IK151"/>
      <c r="IL151"/>
      <c r="IM151"/>
      <c r="IN151"/>
      <c r="IO151"/>
      <c r="IP151"/>
      <c r="IQ151"/>
      <c r="IR151"/>
    </row>
    <row r="152" spans="1:25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  <c r="HB152"/>
      <c r="HC152"/>
      <c r="HD152"/>
      <c r="HE152"/>
      <c r="HF152"/>
      <c r="HG152"/>
      <c r="HH152"/>
      <c r="HI152"/>
      <c r="HJ152"/>
      <c r="HK152"/>
      <c r="HL152"/>
      <c r="HM152"/>
      <c r="HN152"/>
      <c r="HO152"/>
      <c r="HP152"/>
      <c r="HQ152"/>
      <c r="HR152"/>
      <c r="HS152"/>
      <c r="HT152"/>
      <c r="HU152"/>
      <c r="HV152"/>
      <c r="HW152"/>
      <c r="HX152"/>
      <c r="HY152"/>
      <c r="HZ152"/>
      <c r="IA152"/>
      <c r="IB152"/>
      <c r="IC152"/>
      <c r="ID152"/>
      <c r="IE152"/>
      <c r="IF152"/>
      <c r="IG152"/>
      <c r="IH152"/>
      <c r="II152"/>
      <c r="IJ152"/>
      <c r="IK152"/>
      <c r="IL152"/>
      <c r="IM152"/>
      <c r="IN152"/>
      <c r="IO152"/>
      <c r="IP152"/>
      <c r="IQ152"/>
      <c r="IR152"/>
    </row>
    <row r="153" spans="1:25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  <c r="HB153"/>
      <c r="HC153"/>
      <c r="HD153"/>
      <c r="HE153"/>
      <c r="HF153"/>
      <c r="HG153"/>
      <c r="HH153"/>
      <c r="HI153"/>
      <c r="HJ153"/>
      <c r="HK153"/>
      <c r="HL153"/>
      <c r="HM153"/>
      <c r="HN153"/>
      <c r="HO153"/>
      <c r="HP153"/>
      <c r="HQ153"/>
      <c r="HR153"/>
      <c r="HS153"/>
      <c r="HT153"/>
      <c r="HU153"/>
      <c r="HV153"/>
      <c r="HW153"/>
      <c r="HX153"/>
      <c r="HY153"/>
      <c r="HZ153"/>
      <c r="IA153"/>
      <c r="IB153"/>
      <c r="IC153"/>
      <c r="ID153"/>
      <c r="IE153"/>
      <c r="IF153"/>
      <c r="IG153"/>
      <c r="IH153"/>
      <c r="II153"/>
      <c r="IJ153"/>
      <c r="IK153"/>
      <c r="IL153"/>
      <c r="IM153"/>
      <c r="IN153"/>
      <c r="IO153"/>
      <c r="IP153"/>
      <c r="IQ153"/>
      <c r="IR153"/>
    </row>
    <row r="154" spans="1:25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  <c r="HB154"/>
      <c r="HC154"/>
      <c r="HD154"/>
      <c r="HE154"/>
      <c r="HF154"/>
      <c r="HG154"/>
      <c r="HH154"/>
      <c r="HI154"/>
      <c r="HJ154"/>
      <c r="HK154"/>
      <c r="HL154"/>
      <c r="HM154"/>
      <c r="HN154"/>
      <c r="HO154"/>
      <c r="HP154"/>
      <c r="HQ154"/>
      <c r="HR154"/>
      <c r="HS154"/>
      <c r="HT154"/>
      <c r="HU154"/>
      <c r="HV154"/>
      <c r="HW154"/>
      <c r="HX154"/>
      <c r="HY154"/>
      <c r="HZ154"/>
      <c r="IA154"/>
      <c r="IB154"/>
      <c r="IC154"/>
      <c r="ID154"/>
      <c r="IE154"/>
      <c r="IF154"/>
      <c r="IG154"/>
      <c r="IH154"/>
      <c r="II154"/>
      <c r="IJ154"/>
      <c r="IK154"/>
      <c r="IL154"/>
      <c r="IM154"/>
      <c r="IN154"/>
      <c r="IO154"/>
      <c r="IP154"/>
      <c r="IQ154"/>
      <c r="IR154"/>
    </row>
    <row r="155" spans="1:25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  <c r="HB155"/>
      <c r="HC155"/>
      <c r="HD155"/>
      <c r="HE155"/>
      <c r="HF155"/>
      <c r="HG155"/>
      <c r="HH155"/>
      <c r="HI155"/>
      <c r="HJ155"/>
      <c r="HK155"/>
      <c r="HL155"/>
      <c r="HM155"/>
      <c r="HN155"/>
      <c r="HO155"/>
      <c r="HP155"/>
      <c r="HQ155"/>
      <c r="HR155"/>
      <c r="HS155"/>
      <c r="HT155"/>
      <c r="HU155"/>
      <c r="HV155"/>
      <c r="HW155"/>
      <c r="HX155"/>
      <c r="HY155"/>
      <c r="HZ155"/>
      <c r="IA155"/>
      <c r="IB155"/>
      <c r="IC155"/>
      <c r="ID155"/>
      <c r="IE155"/>
      <c r="IF155"/>
      <c r="IG155"/>
      <c r="IH155"/>
      <c r="II155"/>
      <c r="IJ155"/>
      <c r="IK155"/>
      <c r="IL155"/>
      <c r="IM155"/>
      <c r="IN155"/>
      <c r="IO155"/>
      <c r="IP155"/>
      <c r="IQ155"/>
      <c r="IR155"/>
    </row>
    <row r="156" spans="1:25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  <c r="HB156"/>
      <c r="HC156"/>
      <c r="HD156"/>
      <c r="HE156"/>
      <c r="HF156"/>
      <c r="HG156"/>
      <c r="HH156"/>
      <c r="HI156"/>
      <c r="HJ156"/>
      <c r="HK156"/>
      <c r="HL156"/>
      <c r="HM156"/>
      <c r="HN156"/>
      <c r="HO156"/>
      <c r="HP156"/>
      <c r="HQ156"/>
      <c r="HR156"/>
      <c r="HS156"/>
      <c r="HT156"/>
      <c r="HU156"/>
      <c r="HV156"/>
      <c r="HW156"/>
      <c r="HX156"/>
      <c r="HY156"/>
      <c r="HZ156"/>
      <c r="IA156"/>
      <c r="IB156"/>
      <c r="IC156"/>
      <c r="ID156"/>
      <c r="IE156"/>
      <c r="IF156"/>
      <c r="IG156"/>
      <c r="IH156"/>
      <c r="II156"/>
      <c r="IJ156"/>
      <c r="IK156"/>
      <c r="IL156"/>
      <c r="IM156"/>
      <c r="IN156"/>
      <c r="IO156"/>
      <c r="IP156"/>
      <c r="IQ156"/>
      <c r="IR156"/>
    </row>
    <row r="157" spans="1:25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  <c r="HB157"/>
      <c r="HC157"/>
      <c r="HD157"/>
      <c r="HE157"/>
      <c r="HF157"/>
      <c r="HG157"/>
      <c r="HH157"/>
      <c r="HI157"/>
      <c r="HJ157"/>
      <c r="HK157"/>
      <c r="HL157"/>
      <c r="HM157"/>
      <c r="HN157"/>
      <c r="HO157"/>
      <c r="HP157"/>
      <c r="HQ157"/>
      <c r="HR157"/>
      <c r="HS157"/>
      <c r="HT157"/>
      <c r="HU157"/>
      <c r="HV157"/>
      <c r="HW157"/>
      <c r="HX157"/>
      <c r="HY157"/>
      <c r="HZ157"/>
      <c r="IA157"/>
      <c r="IB157"/>
      <c r="IC157"/>
      <c r="ID157"/>
      <c r="IE157"/>
      <c r="IF157"/>
      <c r="IG157"/>
      <c r="IH157"/>
      <c r="II157"/>
      <c r="IJ157"/>
      <c r="IK157"/>
      <c r="IL157"/>
      <c r="IM157"/>
      <c r="IN157"/>
      <c r="IO157"/>
      <c r="IP157"/>
      <c r="IQ157"/>
      <c r="IR157"/>
    </row>
    <row r="158" spans="1:25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  <c r="HB158"/>
      <c r="HC158"/>
      <c r="HD158"/>
      <c r="HE158"/>
      <c r="HF158"/>
      <c r="HG158"/>
      <c r="HH158"/>
      <c r="HI158"/>
      <c r="HJ158"/>
      <c r="HK158"/>
      <c r="HL158"/>
      <c r="HM158"/>
      <c r="HN158"/>
      <c r="HO158"/>
      <c r="HP158"/>
      <c r="HQ158"/>
      <c r="HR158"/>
      <c r="HS158"/>
      <c r="HT158"/>
      <c r="HU158"/>
      <c r="HV158"/>
      <c r="HW158"/>
      <c r="HX158"/>
      <c r="HY158"/>
      <c r="HZ158"/>
      <c r="IA158"/>
      <c r="IB158"/>
      <c r="IC158"/>
      <c r="ID158"/>
      <c r="IE158"/>
      <c r="IF158"/>
      <c r="IG158"/>
      <c r="IH158"/>
      <c r="II158"/>
      <c r="IJ158"/>
      <c r="IK158"/>
      <c r="IL158"/>
      <c r="IM158"/>
      <c r="IN158"/>
      <c r="IO158"/>
      <c r="IP158"/>
      <c r="IQ158"/>
      <c r="IR158"/>
    </row>
    <row r="159" spans="1:25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  <c r="HB159"/>
      <c r="HC159"/>
      <c r="HD159"/>
      <c r="HE159"/>
      <c r="HF159"/>
      <c r="HG159"/>
      <c r="HH159"/>
      <c r="HI159"/>
      <c r="HJ159"/>
      <c r="HK159"/>
      <c r="HL159"/>
      <c r="HM159"/>
      <c r="HN159"/>
      <c r="HO159"/>
      <c r="HP159"/>
      <c r="HQ159"/>
      <c r="HR159"/>
      <c r="HS159"/>
      <c r="HT159"/>
      <c r="HU159"/>
      <c r="HV159"/>
      <c r="HW159"/>
      <c r="HX159"/>
      <c r="HY159"/>
      <c r="HZ159"/>
      <c r="IA159"/>
      <c r="IB159"/>
      <c r="IC159"/>
      <c r="ID159"/>
      <c r="IE159"/>
      <c r="IF159"/>
      <c r="IG159"/>
      <c r="IH159"/>
      <c r="II159"/>
      <c r="IJ159"/>
      <c r="IK159"/>
      <c r="IL159"/>
      <c r="IM159"/>
      <c r="IN159"/>
      <c r="IO159"/>
      <c r="IP159"/>
      <c r="IQ159"/>
      <c r="IR159"/>
    </row>
    <row r="160" spans="1:25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  <c r="HB160"/>
      <c r="HC160"/>
      <c r="HD160"/>
      <c r="HE160"/>
      <c r="HF160"/>
      <c r="HG160"/>
      <c r="HH160"/>
      <c r="HI160"/>
      <c r="HJ160"/>
      <c r="HK160"/>
      <c r="HL160"/>
      <c r="HM160"/>
      <c r="HN160"/>
      <c r="HO160"/>
      <c r="HP160"/>
      <c r="HQ160"/>
      <c r="HR160"/>
      <c r="HS160"/>
      <c r="HT160"/>
      <c r="HU160"/>
      <c r="HV160"/>
      <c r="HW160"/>
      <c r="HX160"/>
      <c r="HY160"/>
      <c r="HZ160"/>
      <c r="IA160"/>
      <c r="IB160"/>
      <c r="IC160"/>
      <c r="ID160"/>
      <c r="IE160"/>
      <c r="IF160"/>
      <c r="IG160"/>
      <c r="IH160"/>
      <c r="II160"/>
      <c r="IJ160"/>
      <c r="IK160"/>
      <c r="IL160"/>
      <c r="IM160"/>
      <c r="IN160"/>
      <c r="IO160"/>
      <c r="IP160"/>
      <c r="IQ160"/>
      <c r="IR160"/>
    </row>
    <row r="161" spans="1:25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  <c r="HB161"/>
      <c r="HC161"/>
      <c r="HD161"/>
      <c r="HE161"/>
      <c r="HF161"/>
      <c r="HG161"/>
      <c r="HH161"/>
      <c r="HI161"/>
      <c r="HJ161"/>
      <c r="HK161"/>
      <c r="HL161"/>
      <c r="HM161"/>
      <c r="HN161"/>
      <c r="HO161"/>
      <c r="HP161"/>
      <c r="HQ161"/>
      <c r="HR161"/>
      <c r="HS161"/>
      <c r="HT161"/>
      <c r="HU161"/>
      <c r="HV161"/>
      <c r="HW161"/>
      <c r="HX161"/>
      <c r="HY161"/>
      <c r="HZ161"/>
      <c r="IA161"/>
      <c r="IB161"/>
      <c r="IC161"/>
      <c r="ID161"/>
      <c r="IE161"/>
      <c r="IF161"/>
      <c r="IG161"/>
      <c r="IH161"/>
      <c r="II161"/>
      <c r="IJ161"/>
      <c r="IK161"/>
      <c r="IL161"/>
      <c r="IM161"/>
      <c r="IN161"/>
      <c r="IO161"/>
      <c r="IP161"/>
      <c r="IQ161"/>
      <c r="IR161"/>
    </row>
    <row r="162" spans="1:25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  <c r="HB162"/>
      <c r="HC162"/>
      <c r="HD162"/>
      <c r="HE162"/>
      <c r="HF162"/>
      <c r="HG162"/>
      <c r="HH162"/>
      <c r="HI162"/>
      <c r="HJ162"/>
      <c r="HK162"/>
      <c r="HL162"/>
      <c r="HM162"/>
      <c r="HN162"/>
      <c r="HO162"/>
      <c r="HP162"/>
      <c r="HQ162"/>
      <c r="HR162"/>
      <c r="HS162"/>
      <c r="HT162"/>
      <c r="HU162"/>
      <c r="HV162"/>
      <c r="HW162"/>
      <c r="HX162"/>
      <c r="HY162"/>
      <c r="HZ162"/>
      <c r="IA162"/>
      <c r="IB162"/>
      <c r="IC162"/>
      <c r="ID162"/>
      <c r="IE162"/>
      <c r="IF162"/>
      <c r="IG162"/>
      <c r="IH162"/>
      <c r="II162"/>
      <c r="IJ162"/>
      <c r="IK162"/>
      <c r="IL162"/>
      <c r="IM162"/>
      <c r="IN162"/>
      <c r="IO162"/>
      <c r="IP162"/>
      <c r="IQ162"/>
      <c r="IR162"/>
    </row>
    <row r="163" spans="1:25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  <c r="HB163"/>
      <c r="HC163"/>
      <c r="HD163"/>
      <c r="HE163"/>
      <c r="HF163"/>
      <c r="HG163"/>
      <c r="HH163"/>
      <c r="HI163"/>
      <c r="HJ163"/>
      <c r="HK163"/>
      <c r="HL163"/>
      <c r="HM163"/>
      <c r="HN163"/>
      <c r="HO163"/>
      <c r="HP163"/>
      <c r="HQ163"/>
      <c r="HR163"/>
      <c r="HS163"/>
      <c r="HT163"/>
      <c r="HU163"/>
      <c r="HV163"/>
      <c r="HW163"/>
      <c r="HX163"/>
      <c r="HY163"/>
      <c r="HZ163"/>
      <c r="IA163"/>
      <c r="IB163"/>
      <c r="IC163"/>
      <c r="ID163"/>
      <c r="IE163"/>
      <c r="IF163"/>
      <c r="IG163"/>
      <c r="IH163"/>
      <c r="II163"/>
      <c r="IJ163"/>
      <c r="IK163"/>
      <c r="IL163"/>
      <c r="IM163"/>
      <c r="IN163"/>
      <c r="IO163"/>
      <c r="IP163"/>
      <c r="IQ163"/>
      <c r="IR163"/>
    </row>
    <row r="164" spans="1:25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  <c r="HB164"/>
      <c r="HC164"/>
      <c r="HD164"/>
      <c r="HE164"/>
      <c r="HF164"/>
      <c r="HG164"/>
      <c r="HH164"/>
      <c r="HI164"/>
      <c r="HJ164"/>
      <c r="HK164"/>
      <c r="HL164"/>
      <c r="HM164"/>
      <c r="HN164"/>
      <c r="HO164"/>
      <c r="HP164"/>
      <c r="HQ164"/>
      <c r="HR164"/>
      <c r="HS164"/>
      <c r="HT164"/>
      <c r="HU164"/>
      <c r="HV164"/>
      <c r="HW164"/>
      <c r="HX164"/>
      <c r="HY164"/>
      <c r="HZ164"/>
      <c r="IA164"/>
      <c r="IB164"/>
      <c r="IC164"/>
      <c r="ID164"/>
      <c r="IE164"/>
      <c r="IF164"/>
      <c r="IG164"/>
      <c r="IH164"/>
      <c r="II164"/>
      <c r="IJ164"/>
      <c r="IK164"/>
      <c r="IL164"/>
      <c r="IM164"/>
      <c r="IN164"/>
      <c r="IO164"/>
      <c r="IP164"/>
      <c r="IQ164"/>
      <c r="IR164"/>
    </row>
    <row r="165" spans="1:25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  <c r="HB165"/>
      <c r="HC165"/>
      <c r="HD165"/>
      <c r="HE165"/>
      <c r="HF165"/>
      <c r="HG165"/>
      <c r="HH165"/>
      <c r="HI165"/>
      <c r="HJ165"/>
      <c r="HK165"/>
      <c r="HL165"/>
      <c r="HM165"/>
      <c r="HN165"/>
      <c r="HO165"/>
      <c r="HP165"/>
      <c r="HQ165"/>
      <c r="HR165"/>
      <c r="HS165"/>
      <c r="HT165"/>
      <c r="HU165"/>
      <c r="HV165"/>
      <c r="HW165"/>
      <c r="HX165"/>
      <c r="HY165"/>
      <c r="HZ165"/>
      <c r="IA165"/>
      <c r="IB165"/>
      <c r="IC165"/>
      <c r="ID165"/>
      <c r="IE165"/>
      <c r="IF165"/>
      <c r="IG165"/>
      <c r="IH165"/>
      <c r="II165"/>
      <c r="IJ165"/>
      <c r="IK165"/>
      <c r="IL165"/>
      <c r="IM165"/>
      <c r="IN165"/>
      <c r="IO165"/>
      <c r="IP165"/>
      <c r="IQ165"/>
      <c r="IR165"/>
    </row>
    <row r="166" spans="1:25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  <c r="HB166"/>
      <c r="HC166"/>
      <c r="HD166"/>
      <c r="HE166"/>
      <c r="HF166"/>
      <c r="HG166"/>
      <c r="HH166"/>
      <c r="HI166"/>
      <c r="HJ166"/>
      <c r="HK166"/>
      <c r="HL166"/>
      <c r="HM166"/>
      <c r="HN166"/>
      <c r="HO166"/>
      <c r="HP166"/>
      <c r="HQ166"/>
      <c r="HR166"/>
      <c r="HS166"/>
      <c r="HT166"/>
      <c r="HU166"/>
      <c r="HV166"/>
      <c r="HW166"/>
      <c r="HX166"/>
      <c r="HY166"/>
      <c r="HZ166"/>
      <c r="IA166"/>
      <c r="IB166"/>
      <c r="IC166"/>
      <c r="ID166"/>
      <c r="IE166"/>
      <c r="IF166"/>
      <c r="IG166"/>
      <c r="IH166"/>
      <c r="II166"/>
      <c r="IJ166"/>
      <c r="IK166"/>
      <c r="IL166"/>
      <c r="IM166"/>
      <c r="IN166"/>
      <c r="IO166"/>
      <c r="IP166"/>
      <c r="IQ166"/>
      <c r="IR166"/>
    </row>
    <row r="167" spans="1:25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  <c r="HB167"/>
      <c r="HC167"/>
      <c r="HD167"/>
      <c r="HE167"/>
      <c r="HF167"/>
      <c r="HG167"/>
      <c r="HH167"/>
      <c r="HI167"/>
      <c r="HJ167"/>
      <c r="HK167"/>
      <c r="HL167"/>
      <c r="HM167"/>
      <c r="HN167"/>
      <c r="HO167"/>
      <c r="HP167"/>
      <c r="HQ167"/>
      <c r="HR167"/>
      <c r="HS167"/>
      <c r="HT167"/>
      <c r="HU167"/>
      <c r="HV167"/>
      <c r="HW167"/>
      <c r="HX167"/>
      <c r="HY167"/>
      <c r="HZ167"/>
      <c r="IA167"/>
      <c r="IB167"/>
      <c r="IC167"/>
      <c r="ID167"/>
      <c r="IE167"/>
      <c r="IF167"/>
      <c r="IG167"/>
      <c r="IH167"/>
      <c r="II167"/>
      <c r="IJ167"/>
      <c r="IK167"/>
      <c r="IL167"/>
      <c r="IM167"/>
      <c r="IN167"/>
      <c r="IO167"/>
      <c r="IP167"/>
      <c r="IQ167"/>
      <c r="IR167"/>
    </row>
    <row r="168" spans="1:25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  <c r="HB168"/>
      <c r="HC168"/>
      <c r="HD168"/>
      <c r="HE168"/>
      <c r="HF168"/>
      <c r="HG168"/>
      <c r="HH168"/>
      <c r="HI168"/>
      <c r="HJ168"/>
      <c r="HK168"/>
      <c r="HL168"/>
      <c r="HM168"/>
      <c r="HN168"/>
      <c r="HO168"/>
      <c r="HP168"/>
      <c r="HQ168"/>
      <c r="HR168"/>
      <c r="HS168"/>
      <c r="HT168"/>
      <c r="HU168"/>
      <c r="HV168"/>
      <c r="HW168"/>
      <c r="HX168"/>
      <c r="HY168"/>
      <c r="HZ168"/>
      <c r="IA168"/>
      <c r="IB168"/>
      <c r="IC168"/>
      <c r="ID168"/>
      <c r="IE168"/>
      <c r="IF168"/>
      <c r="IG168"/>
      <c r="IH168"/>
      <c r="II168"/>
      <c r="IJ168"/>
      <c r="IK168"/>
      <c r="IL168"/>
      <c r="IM168"/>
      <c r="IN168"/>
      <c r="IO168"/>
      <c r="IP168"/>
      <c r="IQ168"/>
      <c r="IR168"/>
    </row>
    <row r="169" spans="1:25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  <c r="HB169"/>
      <c r="HC169"/>
      <c r="HD169"/>
      <c r="HE169"/>
      <c r="HF169"/>
      <c r="HG169"/>
      <c r="HH169"/>
      <c r="HI169"/>
      <c r="HJ169"/>
      <c r="HK169"/>
      <c r="HL169"/>
      <c r="HM169"/>
      <c r="HN169"/>
      <c r="HO169"/>
      <c r="HP169"/>
      <c r="HQ169"/>
      <c r="HR169"/>
      <c r="HS169"/>
      <c r="HT169"/>
      <c r="HU169"/>
      <c r="HV169"/>
      <c r="HW169"/>
      <c r="HX169"/>
      <c r="HY169"/>
      <c r="HZ169"/>
      <c r="IA169"/>
      <c r="IB169"/>
      <c r="IC169"/>
      <c r="ID169"/>
      <c r="IE169"/>
      <c r="IF169"/>
      <c r="IG169"/>
      <c r="IH169"/>
      <c r="II169"/>
      <c r="IJ169"/>
      <c r="IK169"/>
      <c r="IL169"/>
      <c r="IM169"/>
      <c r="IN169"/>
      <c r="IO169"/>
      <c r="IP169"/>
      <c r="IQ169"/>
      <c r="IR169"/>
    </row>
    <row r="170" spans="1:25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  <c r="HB170"/>
      <c r="HC170"/>
      <c r="HD170"/>
      <c r="HE170"/>
      <c r="HF170"/>
      <c r="HG170"/>
      <c r="HH170"/>
      <c r="HI170"/>
      <c r="HJ170"/>
      <c r="HK170"/>
      <c r="HL170"/>
      <c r="HM170"/>
      <c r="HN170"/>
      <c r="HO170"/>
      <c r="HP170"/>
      <c r="HQ170"/>
      <c r="HR170"/>
      <c r="HS170"/>
      <c r="HT170"/>
      <c r="HU170"/>
      <c r="HV170"/>
      <c r="HW170"/>
      <c r="HX170"/>
      <c r="HY170"/>
      <c r="HZ170"/>
      <c r="IA170"/>
      <c r="IB170"/>
      <c r="IC170"/>
      <c r="ID170"/>
      <c r="IE170"/>
      <c r="IF170"/>
      <c r="IG170"/>
      <c r="IH170"/>
      <c r="II170"/>
      <c r="IJ170"/>
      <c r="IK170"/>
      <c r="IL170"/>
      <c r="IM170"/>
      <c r="IN170"/>
      <c r="IO170"/>
      <c r="IP170"/>
      <c r="IQ170"/>
      <c r="IR170"/>
    </row>
    <row r="171" spans="1:25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  <c r="HB171"/>
      <c r="HC171"/>
      <c r="HD171"/>
      <c r="HE171"/>
      <c r="HF171"/>
      <c r="HG171"/>
      <c r="HH171"/>
      <c r="HI171"/>
      <c r="HJ171"/>
      <c r="HK171"/>
      <c r="HL171"/>
      <c r="HM171"/>
      <c r="HN171"/>
      <c r="HO171"/>
      <c r="HP171"/>
      <c r="HQ171"/>
      <c r="HR171"/>
      <c r="HS171"/>
      <c r="HT171"/>
      <c r="HU171"/>
      <c r="HV171"/>
      <c r="HW171"/>
      <c r="HX171"/>
      <c r="HY171"/>
      <c r="HZ171"/>
      <c r="IA171"/>
      <c r="IB171"/>
      <c r="IC171"/>
      <c r="ID171"/>
      <c r="IE171"/>
      <c r="IF171"/>
      <c r="IG171"/>
      <c r="IH171"/>
      <c r="II171"/>
      <c r="IJ171"/>
      <c r="IK171"/>
      <c r="IL171"/>
      <c r="IM171"/>
      <c r="IN171"/>
      <c r="IO171"/>
      <c r="IP171"/>
      <c r="IQ171"/>
      <c r="IR171"/>
    </row>
    <row r="172" spans="1:25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  <c r="HB172"/>
      <c r="HC172"/>
      <c r="HD172"/>
      <c r="HE172"/>
      <c r="HF172"/>
      <c r="HG172"/>
      <c r="HH172"/>
      <c r="HI172"/>
      <c r="HJ172"/>
      <c r="HK172"/>
      <c r="HL172"/>
      <c r="HM172"/>
      <c r="HN172"/>
      <c r="HO172"/>
      <c r="HP172"/>
      <c r="HQ172"/>
      <c r="HR172"/>
      <c r="HS172"/>
      <c r="HT172"/>
      <c r="HU172"/>
      <c r="HV172"/>
      <c r="HW172"/>
      <c r="HX172"/>
      <c r="HY172"/>
      <c r="HZ172"/>
      <c r="IA172"/>
      <c r="IB172"/>
      <c r="IC172"/>
      <c r="ID172"/>
      <c r="IE172"/>
      <c r="IF172"/>
      <c r="IG172"/>
      <c r="IH172"/>
      <c r="II172"/>
      <c r="IJ172"/>
      <c r="IK172"/>
      <c r="IL172"/>
      <c r="IM172"/>
      <c r="IN172"/>
      <c r="IO172"/>
      <c r="IP172"/>
      <c r="IQ172"/>
      <c r="IR172"/>
    </row>
    <row r="173" spans="1:25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  <c r="HB173"/>
      <c r="HC173"/>
      <c r="HD173"/>
      <c r="HE173"/>
      <c r="HF173"/>
      <c r="HG173"/>
      <c r="HH173"/>
      <c r="HI173"/>
      <c r="HJ173"/>
      <c r="HK173"/>
      <c r="HL173"/>
      <c r="HM173"/>
      <c r="HN173"/>
      <c r="HO173"/>
      <c r="HP173"/>
      <c r="HQ173"/>
      <c r="HR173"/>
      <c r="HS173"/>
      <c r="HT173"/>
      <c r="HU173"/>
      <c r="HV173"/>
      <c r="HW173"/>
      <c r="HX173"/>
      <c r="HY173"/>
      <c r="HZ173"/>
      <c r="IA173"/>
      <c r="IB173"/>
      <c r="IC173"/>
      <c r="ID173"/>
      <c r="IE173"/>
      <c r="IF173"/>
      <c r="IG173"/>
      <c r="IH173"/>
      <c r="II173"/>
      <c r="IJ173"/>
      <c r="IK173"/>
      <c r="IL173"/>
      <c r="IM173"/>
      <c r="IN173"/>
      <c r="IO173"/>
      <c r="IP173"/>
      <c r="IQ173"/>
      <c r="IR173"/>
    </row>
    <row r="174" spans="1:25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  <c r="HB174"/>
      <c r="HC174"/>
      <c r="HD174"/>
      <c r="HE174"/>
      <c r="HF174"/>
      <c r="HG174"/>
      <c r="HH174"/>
      <c r="HI174"/>
      <c r="HJ174"/>
      <c r="HK174"/>
      <c r="HL174"/>
      <c r="HM174"/>
      <c r="HN174"/>
      <c r="HO174"/>
      <c r="HP174"/>
      <c r="HQ174"/>
      <c r="HR174"/>
      <c r="HS174"/>
      <c r="HT174"/>
      <c r="HU174"/>
      <c r="HV174"/>
      <c r="HW174"/>
      <c r="HX174"/>
      <c r="HY174"/>
      <c r="HZ174"/>
      <c r="IA174"/>
      <c r="IB174"/>
      <c r="IC174"/>
      <c r="ID174"/>
      <c r="IE174"/>
      <c r="IF174"/>
      <c r="IG174"/>
      <c r="IH174"/>
      <c r="II174"/>
      <c r="IJ174"/>
      <c r="IK174"/>
      <c r="IL174"/>
      <c r="IM174"/>
      <c r="IN174"/>
      <c r="IO174"/>
      <c r="IP174"/>
      <c r="IQ174"/>
      <c r="IR174"/>
    </row>
    <row r="175" spans="1:25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  <c r="HB175"/>
      <c r="HC175"/>
      <c r="HD175"/>
      <c r="HE175"/>
      <c r="HF175"/>
      <c r="HG175"/>
      <c r="HH175"/>
      <c r="HI175"/>
      <c r="HJ175"/>
      <c r="HK175"/>
      <c r="HL175"/>
      <c r="HM175"/>
      <c r="HN175"/>
      <c r="HO175"/>
      <c r="HP175"/>
      <c r="HQ175"/>
      <c r="HR175"/>
      <c r="HS175"/>
      <c r="HT175"/>
      <c r="HU175"/>
      <c r="HV175"/>
      <c r="HW175"/>
      <c r="HX175"/>
      <c r="HY175"/>
      <c r="HZ175"/>
      <c r="IA175"/>
      <c r="IB175"/>
      <c r="IC175"/>
      <c r="ID175"/>
      <c r="IE175"/>
      <c r="IF175"/>
      <c r="IG175"/>
      <c r="IH175"/>
      <c r="II175"/>
      <c r="IJ175"/>
      <c r="IK175"/>
      <c r="IL175"/>
      <c r="IM175"/>
      <c r="IN175"/>
      <c r="IO175"/>
      <c r="IP175"/>
      <c r="IQ175"/>
      <c r="IR175"/>
    </row>
    <row r="176" spans="1:25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  <c r="HB176"/>
      <c r="HC176"/>
      <c r="HD176"/>
      <c r="HE176"/>
      <c r="HF176"/>
      <c r="HG176"/>
      <c r="HH176"/>
      <c r="HI176"/>
      <c r="HJ176"/>
      <c r="HK176"/>
      <c r="HL176"/>
      <c r="HM176"/>
      <c r="HN176"/>
      <c r="HO176"/>
      <c r="HP176"/>
      <c r="HQ176"/>
      <c r="HR176"/>
      <c r="HS176"/>
      <c r="HT176"/>
      <c r="HU176"/>
      <c r="HV176"/>
      <c r="HW176"/>
      <c r="HX176"/>
      <c r="HY176"/>
      <c r="HZ176"/>
      <c r="IA176"/>
      <c r="IB176"/>
      <c r="IC176"/>
      <c r="ID176"/>
      <c r="IE176"/>
      <c r="IF176"/>
      <c r="IG176"/>
      <c r="IH176"/>
      <c r="II176"/>
      <c r="IJ176"/>
      <c r="IK176"/>
      <c r="IL176"/>
      <c r="IM176"/>
      <c r="IN176"/>
      <c r="IO176"/>
      <c r="IP176"/>
      <c r="IQ176"/>
      <c r="IR176"/>
    </row>
    <row r="177" spans="1:25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  <c r="HB177"/>
      <c r="HC177"/>
      <c r="HD177"/>
      <c r="HE177"/>
      <c r="HF177"/>
      <c r="HG177"/>
      <c r="HH177"/>
      <c r="HI177"/>
      <c r="HJ177"/>
      <c r="HK177"/>
      <c r="HL177"/>
      <c r="HM177"/>
      <c r="HN177"/>
      <c r="HO177"/>
      <c r="HP177"/>
      <c r="HQ177"/>
      <c r="HR177"/>
      <c r="HS177"/>
      <c r="HT177"/>
      <c r="HU177"/>
      <c r="HV177"/>
      <c r="HW177"/>
      <c r="HX177"/>
      <c r="HY177"/>
      <c r="HZ177"/>
      <c r="IA177"/>
      <c r="IB177"/>
      <c r="IC177"/>
      <c r="ID177"/>
      <c r="IE177"/>
      <c r="IF177"/>
      <c r="IG177"/>
      <c r="IH177"/>
      <c r="II177"/>
      <c r="IJ177"/>
      <c r="IK177"/>
      <c r="IL177"/>
      <c r="IM177"/>
      <c r="IN177"/>
      <c r="IO177"/>
      <c r="IP177"/>
      <c r="IQ177"/>
      <c r="IR177"/>
    </row>
    <row r="178" spans="1:25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  <c r="HB178"/>
      <c r="HC178"/>
      <c r="HD178"/>
      <c r="HE178"/>
      <c r="HF178"/>
      <c r="HG178"/>
      <c r="HH178"/>
      <c r="HI178"/>
      <c r="HJ178"/>
      <c r="HK178"/>
      <c r="HL178"/>
      <c r="HM178"/>
      <c r="HN178"/>
      <c r="HO178"/>
      <c r="HP178"/>
      <c r="HQ178"/>
      <c r="HR178"/>
      <c r="HS178"/>
      <c r="HT178"/>
      <c r="HU178"/>
      <c r="HV178"/>
      <c r="HW178"/>
      <c r="HX178"/>
      <c r="HY178"/>
      <c r="HZ178"/>
      <c r="IA178"/>
      <c r="IB178"/>
      <c r="IC178"/>
      <c r="ID178"/>
      <c r="IE178"/>
      <c r="IF178"/>
      <c r="IG178"/>
      <c r="IH178"/>
      <c r="II178"/>
      <c r="IJ178"/>
      <c r="IK178"/>
      <c r="IL178"/>
      <c r="IM178"/>
      <c r="IN178"/>
      <c r="IO178"/>
      <c r="IP178"/>
      <c r="IQ178"/>
      <c r="IR178"/>
    </row>
    <row r="179" spans="1:25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  <c r="HB179"/>
      <c r="HC179"/>
      <c r="HD179"/>
      <c r="HE179"/>
      <c r="HF179"/>
      <c r="HG179"/>
      <c r="HH179"/>
      <c r="HI179"/>
      <c r="HJ179"/>
      <c r="HK179"/>
      <c r="HL179"/>
      <c r="HM179"/>
      <c r="HN179"/>
      <c r="HO179"/>
      <c r="HP179"/>
      <c r="HQ179"/>
      <c r="HR179"/>
      <c r="HS179"/>
      <c r="HT179"/>
      <c r="HU179"/>
      <c r="HV179"/>
      <c r="HW179"/>
      <c r="HX179"/>
      <c r="HY179"/>
      <c r="HZ179"/>
      <c r="IA179"/>
      <c r="IB179"/>
      <c r="IC179"/>
      <c r="ID179"/>
      <c r="IE179"/>
      <c r="IF179"/>
      <c r="IG179"/>
      <c r="IH179"/>
      <c r="II179"/>
      <c r="IJ179"/>
      <c r="IK179"/>
      <c r="IL179"/>
      <c r="IM179"/>
      <c r="IN179"/>
      <c r="IO179"/>
      <c r="IP179"/>
      <c r="IQ179"/>
      <c r="IR179"/>
    </row>
    <row r="180" spans="1:25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  <c r="HB180"/>
      <c r="HC180"/>
      <c r="HD180"/>
      <c r="HE180"/>
      <c r="HF180"/>
      <c r="HG180"/>
      <c r="HH180"/>
      <c r="HI180"/>
      <c r="HJ180"/>
      <c r="HK180"/>
      <c r="HL180"/>
      <c r="HM180"/>
      <c r="HN180"/>
      <c r="HO180"/>
      <c r="HP180"/>
      <c r="HQ180"/>
      <c r="HR180"/>
      <c r="HS180"/>
      <c r="HT180"/>
      <c r="HU180"/>
      <c r="HV180"/>
      <c r="HW180"/>
      <c r="HX180"/>
      <c r="HY180"/>
      <c r="HZ180"/>
      <c r="IA180"/>
      <c r="IB180"/>
      <c r="IC180"/>
      <c r="ID180"/>
      <c r="IE180"/>
      <c r="IF180"/>
      <c r="IG180"/>
      <c r="IH180"/>
      <c r="II180"/>
      <c r="IJ180"/>
      <c r="IK180"/>
      <c r="IL180"/>
      <c r="IM180"/>
      <c r="IN180"/>
      <c r="IO180"/>
      <c r="IP180"/>
      <c r="IQ180"/>
      <c r="IR180"/>
    </row>
    <row r="181" spans="1:25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  <c r="HB181"/>
      <c r="HC181"/>
      <c r="HD181"/>
      <c r="HE181"/>
      <c r="HF181"/>
      <c r="HG181"/>
      <c r="HH181"/>
      <c r="HI181"/>
      <c r="HJ181"/>
      <c r="HK181"/>
      <c r="HL181"/>
      <c r="HM181"/>
      <c r="HN181"/>
      <c r="HO181"/>
      <c r="HP181"/>
      <c r="HQ181"/>
      <c r="HR181"/>
      <c r="HS181"/>
      <c r="HT181"/>
      <c r="HU181"/>
      <c r="HV181"/>
      <c r="HW181"/>
      <c r="HX181"/>
      <c r="HY181"/>
      <c r="HZ181"/>
      <c r="IA181"/>
      <c r="IB181"/>
      <c r="IC181"/>
      <c r="ID181"/>
      <c r="IE181"/>
      <c r="IF181"/>
      <c r="IG181"/>
      <c r="IH181"/>
      <c r="II181"/>
      <c r="IJ181"/>
      <c r="IK181"/>
      <c r="IL181"/>
      <c r="IM181"/>
      <c r="IN181"/>
      <c r="IO181"/>
      <c r="IP181"/>
      <c r="IQ181"/>
      <c r="IR181"/>
    </row>
    <row r="182" spans="1:25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  <c r="HB182"/>
      <c r="HC182"/>
      <c r="HD182"/>
      <c r="HE182"/>
      <c r="HF182"/>
      <c r="HG182"/>
      <c r="HH182"/>
      <c r="HI182"/>
      <c r="HJ182"/>
      <c r="HK182"/>
      <c r="HL182"/>
      <c r="HM182"/>
      <c r="HN182"/>
      <c r="HO182"/>
      <c r="HP182"/>
      <c r="HQ182"/>
      <c r="HR182"/>
      <c r="HS182"/>
      <c r="HT182"/>
      <c r="HU182"/>
      <c r="HV182"/>
      <c r="HW182"/>
      <c r="HX182"/>
      <c r="HY182"/>
      <c r="HZ182"/>
      <c r="IA182"/>
      <c r="IB182"/>
      <c r="IC182"/>
      <c r="ID182"/>
      <c r="IE182"/>
      <c r="IF182"/>
      <c r="IG182"/>
      <c r="IH182"/>
      <c r="II182"/>
      <c r="IJ182"/>
      <c r="IK182"/>
      <c r="IL182"/>
      <c r="IM182"/>
      <c r="IN182"/>
      <c r="IO182"/>
      <c r="IP182"/>
      <c r="IQ182"/>
      <c r="IR182"/>
    </row>
    <row r="183" spans="1:25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  <c r="HB183"/>
      <c r="HC183"/>
      <c r="HD183"/>
      <c r="HE183"/>
      <c r="HF183"/>
      <c r="HG183"/>
      <c r="HH183"/>
      <c r="HI183"/>
      <c r="HJ183"/>
      <c r="HK183"/>
      <c r="HL183"/>
      <c r="HM183"/>
      <c r="HN183"/>
      <c r="HO183"/>
      <c r="HP183"/>
      <c r="HQ183"/>
      <c r="HR183"/>
      <c r="HS183"/>
      <c r="HT183"/>
      <c r="HU183"/>
      <c r="HV183"/>
      <c r="HW183"/>
      <c r="HX183"/>
      <c r="HY183"/>
      <c r="HZ183"/>
      <c r="IA183"/>
      <c r="IB183"/>
      <c r="IC183"/>
      <c r="ID183"/>
      <c r="IE183"/>
      <c r="IF183"/>
      <c r="IG183"/>
      <c r="IH183"/>
      <c r="II183"/>
      <c r="IJ183"/>
      <c r="IK183"/>
      <c r="IL183"/>
      <c r="IM183"/>
      <c r="IN183"/>
      <c r="IO183"/>
      <c r="IP183"/>
      <c r="IQ183"/>
      <c r="IR183"/>
    </row>
    <row r="184" spans="1:25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  <c r="HB184"/>
      <c r="HC184"/>
      <c r="HD184"/>
      <c r="HE184"/>
      <c r="HF184"/>
      <c r="HG184"/>
      <c r="HH184"/>
      <c r="HI184"/>
      <c r="HJ184"/>
      <c r="HK184"/>
      <c r="HL184"/>
      <c r="HM184"/>
      <c r="HN184"/>
      <c r="HO184"/>
      <c r="HP184"/>
      <c r="HQ184"/>
      <c r="HR184"/>
      <c r="HS184"/>
      <c r="HT184"/>
      <c r="HU184"/>
      <c r="HV184"/>
      <c r="HW184"/>
      <c r="HX184"/>
      <c r="HY184"/>
      <c r="HZ184"/>
      <c r="IA184"/>
      <c r="IB184"/>
      <c r="IC184"/>
      <c r="ID184"/>
      <c r="IE184"/>
      <c r="IF184"/>
      <c r="IG184"/>
      <c r="IH184"/>
      <c r="II184"/>
      <c r="IJ184"/>
      <c r="IK184"/>
      <c r="IL184"/>
      <c r="IM184"/>
      <c r="IN184"/>
      <c r="IO184"/>
      <c r="IP184"/>
      <c r="IQ184"/>
      <c r="IR184"/>
    </row>
    <row r="185" spans="1:25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  <c r="HB185"/>
      <c r="HC185"/>
      <c r="HD185"/>
      <c r="HE185"/>
      <c r="HF185"/>
      <c r="HG185"/>
      <c r="HH185"/>
      <c r="HI185"/>
      <c r="HJ185"/>
      <c r="HK185"/>
      <c r="HL185"/>
      <c r="HM185"/>
      <c r="HN185"/>
      <c r="HO185"/>
      <c r="HP185"/>
      <c r="HQ185"/>
      <c r="HR185"/>
      <c r="HS185"/>
      <c r="HT185"/>
      <c r="HU185"/>
      <c r="HV185"/>
      <c r="HW185"/>
      <c r="HX185"/>
      <c r="HY185"/>
      <c r="HZ185"/>
      <c r="IA185"/>
      <c r="IB185"/>
      <c r="IC185"/>
      <c r="ID185"/>
      <c r="IE185"/>
      <c r="IF185"/>
      <c r="IG185"/>
      <c r="IH185"/>
      <c r="II185"/>
      <c r="IJ185"/>
      <c r="IK185"/>
      <c r="IL185"/>
      <c r="IM185"/>
      <c r="IN185"/>
      <c r="IO185"/>
      <c r="IP185"/>
      <c r="IQ185"/>
      <c r="IR185"/>
    </row>
    <row r="186" spans="1:25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  <c r="HB186"/>
      <c r="HC186"/>
      <c r="HD186"/>
      <c r="HE186"/>
      <c r="HF186"/>
      <c r="HG186"/>
      <c r="HH186"/>
      <c r="HI186"/>
      <c r="HJ186"/>
      <c r="HK186"/>
      <c r="HL186"/>
      <c r="HM186"/>
      <c r="HN186"/>
      <c r="HO186"/>
      <c r="HP186"/>
      <c r="HQ186"/>
      <c r="HR186"/>
      <c r="HS186"/>
      <c r="HT186"/>
      <c r="HU186"/>
      <c r="HV186"/>
      <c r="HW186"/>
      <c r="HX186"/>
      <c r="HY186"/>
      <c r="HZ186"/>
      <c r="IA186"/>
      <c r="IB186"/>
      <c r="IC186"/>
      <c r="ID186"/>
      <c r="IE186"/>
      <c r="IF186"/>
      <c r="IG186"/>
      <c r="IH186"/>
      <c r="II186"/>
      <c r="IJ186"/>
      <c r="IK186"/>
      <c r="IL186"/>
      <c r="IM186"/>
      <c r="IN186"/>
      <c r="IO186"/>
      <c r="IP186"/>
      <c r="IQ186"/>
      <c r="IR186"/>
    </row>
    <row r="187" spans="1:25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  <c r="HB187"/>
      <c r="HC187"/>
      <c r="HD187"/>
      <c r="HE187"/>
      <c r="HF187"/>
      <c r="HG187"/>
      <c r="HH187"/>
      <c r="HI187"/>
      <c r="HJ187"/>
      <c r="HK187"/>
      <c r="HL187"/>
      <c r="HM187"/>
      <c r="HN187"/>
      <c r="HO187"/>
      <c r="HP187"/>
      <c r="HQ187"/>
      <c r="HR187"/>
      <c r="HS187"/>
      <c r="HT187"/>
      <c r="HU187"/>
      <c r="HV187"/>
      <c r="HW187"/>
      <c r="HX187"/>
      <c r="HY187"/>
      <c r="HZ187"/>
      <c r="IA187"/>
      <c r="IB187"/>
      <c r="IC187"/>
      <c r="ID187"/>
      <c r="IE187"/>
      <c r="IF187"/>
      <c r="IG187"/>
      <c r="IH187"/>
      <c r="II187"/>
      <c r="IJ187"/>
      <c r="IK187"/>
      <c r="IL187"/>
      <c r="IM187"/>
      <c r="IN187"/>
      <c r="IO187"/>
      <c r="IP187"/>
      <c r="IQ187"/>
      <c r="IR187"/>
    </row>
    <row r="188" spans="1:25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  <c r="HB188"/>
      <c r="HC188"/>
      <c r="HD188"/>
      <c r="HE188"/>
      <c r="HF188"/>
      <c r="HG188"/>
      <c r="HH188"/>
      <c r="HI188"/>
      <c r="HJ188"/>
      <c r="HK188"/>
      <c r="HL188"/>
      <c r="HM188"/>
      <c r="HN188"/>
      <c r="HO188"/>
      <c r="HP188"/>
      <c r="HQ188"/>
      <c r="HR188"/>
      <c r="HS188"/>
      <c r="HT188"/>
      <c r="HU188"/>
      <c r="HV188"/>
      <c r="HW188"/>
      <c r="HX188"/>
      <c r="HY188"/>
      <c r="HZ188"/>
      <c r="IA188"/>
      <c r="IB188"/>
      <c r="IC188"/>
      <c r="ID188"/>
      <c r="IE188"/>
      <c r="IF188"/>
      <c r="IG188"/>
      <c r="IH188"/>
      <c r="II188"/>
      <c r="IJ188"/>
      <c r="IK188"/>
      <c r="IL188"/>
      <c r="IM188"/>
      <c r="IN188"/>
      <c r="IO188"/>
      <c r="IP188"/>
      <c r="IQ188"/>
      <c r="IR188"/>
    </row>
    <row r="189" spans="1:25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  <c r="HB189"/>
      <c r="HC189"/>
      <c r="HD189"/>
      <c r="HE189"/>
      <c r="HF189"/>
      <c r="HG189"/>
      <c r="HH189"/>
      <c r="HI189"/>
      <c r="HJ189"/>
      <c r="HK189"/>
      <c r="HL189"/>
      <c r="HM189"/>
      <c r="HN189"/>
      <c r="HO189"/>
      <c r="HP189"/>
      <c r="HQ189"/>
      <c r="HR189"/>
      <c r="HS189"/>
      <c r="HT189"/>
      <c r="HU189"/>
      <c r="HV189"/>
      <c r="HW189"/>
      <c r="HX189"/>
      <c r="HY189"/>
      <c r="HZ189"/>
      <c r="IA189"/>
      <c r="IB189"/>
      <c r="IC189"/>
      <c r="ID189"/>
      <c r="IE189"/>
      <c r="IF189"/>
      <c r="IG189"/>
      <c r="IH189"/>
      <c r="II189"/>
      <c r="IJ189"/>
      <c r="IK189"/>
      <c r="IL189"/>
      <c r="IM189"/>
      <c r="IN189"/>
      <c r="IO189"/>
      <c r="IP189"/>
      <c r="IQ189"/>
      <c r="IR189"/>
    </row>
    <row r="190" spans="1:25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  <c r="HB190"/>
      <c r="HC190"/>
      <c r="HD190"/>
      <c r="HE190"/>
      <c r="HF190"/>
      <c r="HG190"/>
      <c r="HH190"/>
      <c r="HI190"/>
      <c r="HJ190"/>
      <c r="HK190"/>
      <c r="HL190"/>
      <c r="HM190"/>
      <c r="HN190"/>
      <c r="HO190"/>
      <c r="HP190"/>
      <c r="HQ190"/>
      <c r="HR190"/>
      <c r="HS190"/>
      <c r="HT190"/>
      <c r="HU190"/>
      <c r="HV190"/>
      <c r="HW190"/>
      <c r="HX190"/>
      <c r="HY190"/>
      <c r="HZ190"/>
      <c r="IA190"/>
      <c r="IB190"/>
      <c r="IC190"/>
      <c r="ID190"/>
      <c r="IE190"/>
      <c r="IF190"/>
      <c r="IG190"/>
      <c r="IH190"/>
      <c r="II190"/>
      <c r="IJ190"/>
      <c r="IK190"/>
      <c r="IL190"/>
      <c r="IM190"/>
      <c r="IN190"/>
      <c r="IO190"/>
      <c r="IP190"/>
      <c r="IQ190"/>
      <c r="IR190"/>
    </row>
    <row r="191" spans="1:25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  <c r="HB191"/>
      <c r="HC191"/>
      <c r="HD191"/>
      <c r="HE191"/>
      <c r="HF191"/>
      <c r="HG191"/>
      <c r="HH191"/>
      <c r="HI191"/>
      <c r="HJ191"/>
      <c r="HK191"/>
      <c r="HL191"/>
      <c r="HM191"/>
      <c r="HN191"/>
      <c r="HO191"/>
      <c r="HP191"/>
      <c r="HQ191"/>
      <c r="HR191"/>
      <c r="HS191"/>
      <c r="HT191"/>
      <c r="HU191"/>
      <c r="HV191"/>
      <c r="HW191"/>
      <c r="HX191"/>
      <c r="HY191"/>
      <c r="HZ191"/>
      <c r="IA191"/>
      <c r="IB191"/>
      <c r="IC191"/>
      <c r="ID191"/>
      <c r="IE191"/>
      <c r="IF191"/>
      <c r="IG191"/>
      <c r="IH191"/>
      <c r="II191"/>
      <c r="IJ191"/>
      <c r="IK191"/>
      <c r="IL191"/>
      <c r="IM191"/>
      <c r="IN191"/>
      <c r="IO191"/>
      <c r="IP191"/>
      <c r="IQ191"/>
      <c r="IR191"/>
    </row>
    <row r="192" spans="1:25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  <c r="HB192"/>
      <c r="HC192"/>
      <c r="HD192"/>
      <c r="HE192"/>
      <c r="HF192"/>
      <c r="HG192"/>
      <c r="HH192"/>
      <c r="HI192"/>
      <c r="HJ192"/>
      <c r="HK192"/>
      <c r="HL192"/>
      <c r="HM192"/>
      <c r="HN192"/>
      <c r="HO192"/>
      <c r="HP192"/>
      <c r="HQ192"/>
      <c r="HR192"/>
      <c r="HS192"/>
      <c r="HT192"/>
      <c r="HU192"/>
      <c r="HV192"/>
      <c r="HW192"/>
      <c r="HX192"/>
      <c r="HY192"/>
      <c r="HZ192"/>
      <c r="IA192"/>
      <c r="IB192"/>
      <c r="IC192"/>
      <c r="ID192"/>
      <c r="IE192"/>
      <c r="IF192"/>
      <c r="IG192"/>
      <c r="IH192"/>
      <c r="II192"/>
      <c r="IJ192"/>
      <c r="IK192"/>
      <c r="IL192"/>
      <c r="IM192"/>
      <c r="IN192"/>
      <c r="IO192"/>
      <c r="IP192"/>
      <c r="IQ192"/>
      <c r="IR192"/>
    </row>
    <row r="193" spans="1:25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  <c r="HB193"/>
      <c r="HC193"/>
      <c r="HD193"/>
      <c r="HE193"/>
      <c r="HF193"/>
      <c r="HG193"/>
      <c r="HH193"/>
      <c r="HI193"/>
      <c r="HJ193"/>
      <c r="HK193"/>
      <c r="HL193"/>
      <c r="HM193"/>
      <c r="HN193"/>
      <c r="HO193"/>
      <c r="HP193"/>
      <c r="HQ193"/>
      <c r="HR193"/>
      <c r="HS193"/>
      <c r="HT193"/>
      <c r="HU193"/>
      <c r="HV193"/>
      <c r="HW193"/>
      <c r="HX193"/>
      <c r="HY193"/>
      <c r="HZ193"/>
      <c r="IA193"/>
      <c r="IB193"/>
      <c r="IC193"/>
      <c r="ID193"/>
      <c r="IE193"/>
      <c r="IF193"/>
      <c r="IG193"/>
      <c r="IH193"/>
      <c r="II193"/>
      <c r="IJ193"/>
      <c r="IK193"/>
      <c r="IL193"/>
      <c r="IM193"/>
      <c r="IN193"/>
      <c r="IO193"/>
      <c r="IP193"/>
      <c r="IQ193"/>
      <c r="IR193"/>
    </row>
    <row r="194" spans="1:25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  <c r="HB194"/>
      <c r="HC194"/>
      <c r="HD194"/>
      <c r="HE194"/>
      <c r="HF194"/>
      <c r="HG194"/>
      <c r="HH194"/>
      <c r="HI194"/>
      <c r="HJ194"/>
      <c r="HK194"/>
      <c r="HL194"/>
      <c r="HM194"/>
      <c r="HN194"/>
      <c r="HO194"/>
      <c r="HP194"/>
      <c r="HQ194"/>
      <c r="HR194"/>
      <c r="HS194"/>
      <c r="HT194"/>
      <c r="HU194"/>
      <c r="HV194"/>
      <c r="HW194"/>
      <c r="HX194"/>
      <c r="HY194"/>
      <c r="HZ194"/>
      <c r="IA194"/>
      <c r="IB194"/>
      <c r="IC194"/>
      <c r="ID194"/>
      <c r="IE194"/>
      <c r="IF194"/>
      <c r="IG194"/>
      <c r="IH194"/>
      <c r="II194"/>
      <c r="IJ194"/>
      <c r="IK194"/>
      <c r="IL194"/>
      <c r="IM194"/>
      <c r="IN194"/>
      <c r="IO194"/>
      <c r="IP194"/>
      <c r="IQ194"/>
      <c r="IR194"/>
    </row>
    <row r="195" spans="1:25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  <c r="HB195"/>
      <c r="HC195"/>
      <c r="HD195"/>
      <c r="HE195"/>
      <c r="HF195"/>
      <c r="HG195"/>
      <c r="HH195"/>
      <c r="HI195"/>
      <c r="HJ195"/>
      <c r="HK195"/>
      <c r="HL195"/>
      <c r="HM195"/>
      <c r="HN195"/>
      <c r="HO195"/>
      <c r="HP195"/>
      <c r="HQ195"/>
      <c r="HR195"/>
      <c r="HS195"/>
      <c r="HT195"/>
      <c r="HU195"/>
      <c r="HV195"/>
      <c r="HW195"/>
      <c r="HX195"/>
      <c r="HY195"/>
      <c r="HZ195"/>
      <c r="IA195"/>
      <c r="IB195"/>
      <c r="IC195"/>
      <c r="ID195"/>
      <c r="IE195"/>
      <c r="IF195"/>
      <c r="IG195"/>
      <c r="IH195"/>
      <c r="II195"/>
      <c r="IJ195"/>
      <c r="IK195"/>
      <c r="IL195"/>
      <c r="IM195"/>
      <c r="IN195"/>
      <c r="IO195"/>
      <c r="IP195"/>
      <c r="IQ195"/>
      <c r="IR195"/>
    </row>
    <row r="196" spans="1:25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  <c r="HB196"/>
      <c r="HC196"/>
      <c r="HD196"/>
      <c r="HE196"/>
      <c r="HF196"/>
      <c r="HG196"/>
      <c r="HH196"/>
      <c r="HI196"/>
      <c r="HJ196"/>
      <c r="HK196"/>
      <c r="HL196"/>
      <c r="HM196"/>
      <c r="HN196"/>
      <c r="HO196"/>
      <c r="HP196"/>
      <c r="HQ196"/>
      <c r="HR196"/>
      <c r="HS196"/>
      <c r="HT196"/>
      <c r="HU196"/>
      <c r="HV196"/>
      <c r="HW196"/>
      <c r="HX196"/>
      <c r="HY196"/>
      <c r="HZ196"/>
      <c r="IA196"/>
      <c r="IB196"/>
      <c r="IC196"/>
      <c r="ID196"/>
      <c r="IE196"/>
      <c r="IF196"/>
      <c r="IG196"/>
      <c r="IH196"/>
      <c r="II196"/>
      <c r="IJ196"/>
      <c r="IK196"/>
      <c r="IL196"/>
      <c r="IM196"/>
      <c r="IN196"/>
      <c r="IO196"/>
      <c r="IP196"/>
      <c r="IQ196"/>
      <c r="IR196"/>
    </row>
    <row r="197" spans="1:25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  <c r="HB197"/>
      <c r="HC197"/>
      <c r="HD197"/>
      <c r="HE197"/>
      <c r="HF197"/>
      <c r="HG197"/>
      <c r="HH197"/>
      <c r="HI197"/>
      <c r="HJ197"/>
      <c r="HK197"/>
      <c r="HL197"/>
      <c r="HM197"/>
      <c r="HN197"/>
      <c r="HO197"/>
      <c r="HP197"/>
      <c r="HQ197"/>
      <c r="HR197"/>
      <c r="HS197"/>
      <c r="HT197"/>
      <c r="HU197"/>
      <c r="HV197"/>
      <c r="HW197"/>
      <c r="HX197"/>
      <c r="HY197"/>
      <c r="HZ197"/>
      <c r="IA197"/>
      <c r="IB197"/>
      <c r="IC197"/>
      <c r="ID197"/>
      <c r="IE197"/>
      <c r="IF197"/>
      <c r="IG197"/>
      <c r="IH197"/>
      <c r="II197"/>
      <c r="IJ197"/>
      <c r="IK197"/>
      <c r="IL197"/>
      <c r="IM197"/>
      <c r="IN197"/>
      <c r="IO197"/>
      <c r="IP197"/>
      <c r="IQ197"/>
      <c r="IR197"/>
    </row>
    <row r="198" spans="1:25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  <c r="HB198"/>
      <c r="HC198"/>
      <c r="HD198"/>
      <c r="HE198"/>
      <c r="HF198"/>
      <c r="HG198"/>
      <c r="HH198"/>
      <c r="HI198"/>
      <c r="HJ198"/>
      <c r="HK198"/>
      <c r="HL198"/>
      <c r="HM198"/>
      <c r="HN198"/>
      <c r="HO198"/>
      <c r="HP198"/>
      <c r="HQ198"/>
      <c r="HR198"/>
      <c r="HS198"/>
      <c r="HT198"/>
      <c r="HU198"/>
      <c r="HV198"/>
      <c r="HW198"/>
      <c r="HX198"/>
      <c r="HY198"/>
      <c r="HZ198"/>
      <c r="IA198"/>
      <c r="IB198"/>
      <c r="IC198"/>
      <c r="ID198"/>
      <c r="IE198"/>
      <c r="IF198"/>
      <c r="IG198"/>
      <c r="IH198"/>
      <c r="II198"/>
      <c r="IJ198"/>
      <c r="IK198"/>
      <c r="IL198"/>
      <c r="IM198"/>
      <c r="IN198"/>
      <c r="IO198"/>
      <c r="IP198"/>
      <c r="IQ198"/>
      <c r="IR198"/>
    </row>
    <row r="199" spans="1:25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  <c r="HB199"/>
      <c r="HC199"/>
      <c r="HD199"/>
      <c r="HE199"/>
      <c r="HF199"/>
      <c r="HG199"/>
      <c r="HH199"/>
      <c r="HI199"/>
      <c r="HJ199"/>
      <c r="HK199"/>
      <c r="HL199"/>
      <c r="HM199"/>
      <c r="HN199"/>
      <c r="HO199"/>
      <c r="HP199"/>
      <c r="HQ199"/>
      <c r="HR199"/>
      <c r="HS199"/>
      <c r="HT199"/>
      <c r="HU199"/>
      <c r="HV199"/>
      <c r="HW199"/>
      <c r="HX199"/>
      <c r="HY199"/>
      <c r="HZ199"/>
      <c r="IA199"/>
      <c r="IB199"/>
      <c r="IC199"/>
      <c r="ID199"/>
      <c r="IE199"/>
      <c r="IF199"/>
      <c r="IG199"/>
      <c r="IH199"/>
      <c r="II199"/>
      <c r="IJ199"/>
      <c r="IK199"/>
      <c r="IL199"/>
      <c r="IM199"/>
      <c r="IN199"/>
      <c r="IO199"/>
      <c r="IP199"/>
      <c r="IQ199"/>
      <c r="IR199"/>
    </row>
    <row r="200" spans="1:25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  <c r="HB200"/>
      <c r="HC200"/>
      <c r="HD200"/>
      <c r="HE200"/>
      <c r="HF200"/>
      <c r="HG200"/>
      <c r="HH200"/>
      <c r="HI200"/>
      <c r="HJ200"/>
      <c r="HK200"/>
      <c r="HL200"/>
      <c r="HM200"/>
      <c r="HN200"/>
      <c r="HO200"/>
      <c r="HP200"/>
      <c r="HQ200"/>
      <c r="HR200"/>
      <c r="HS200"/>
      <c r="HT200"/>
      <c r="HU200"/>
      <c r="HV200"/>
      <c r="HW200"/>
      <c r="HX200"/>
      <c r="HY200"/>
      <c r="HZ200"/>
      <c r="IA200"/>
      <c r="IB200"/>
      <c r="IC200"/>
      <c r="ID200"/>
      <c r="IE200"/>
      <c r="IF200"/>
      <c r="IG200"/>
      <c r="IH200"/>
      <c r="II200"/>
      <c r="IJ200"/>
      <c r="IK200"/>
      <c r="IL200"/>
      <c r="IM200"/>
      <c r="IN200"/>
      <c r="IO200"/>
      <c r="IP200"/>
      <c r="IQ200"/>
      <c r="IR200"/>
    </row>
    <row r="201" spans="1:25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  <c r="HB201"/>
      <c r="HC201"/>
      <c r="HD201"/>
      <c r="HE201"/>
      <c r="HF201"/>
      <c r="HG201"/>
      <c r="HH201"/>
      <c r="HI201"/>
      <c r="HJ201"/>
      <c r="HK201"/>
      <c r="HL201"/>
      <c r="HM201"/>
      <c r="HN201"/>
      <c r="HO201"/>
      <c r="HP201"/>
      <c r="HQ201"/>
      <c r="HR201"/>
      <c r="HS201"/>
      <c r="HT201"/>
      <c r="HU201"/>
      <c r="HV201"/>
      <c r="HW201"/>
      <c r="HX201"/>
      <c r="HY201"/>
      <c r="HZ201"/>
      <c r="IA201"/>
      <c r="IB201"/>
      <c r="IC201"/>
      <c r="ID201"/>
      <c r="IE201"/>
      <c r="IF201"/>
      <c r="IG201"/>
      <c r="IH201"/>
      <c r="II201"/>
      <c r="IJ201"/>
      <c r="IK201"/>
      <c r="IL201"/>
      <c r="IM201"/>
      <c r="IN201"/>
      <c r="IO201"/>
      <c r="IP201"/>
      <c r="IQ201"/>
      <c r="IR201"/>
    </row>
    <row r="202" spans="1:25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  <c r="HB202"/>
      <c r="HC202"/>
      <c r="HD202"/>
      <c r="HE202"/>
      <c r="HF202"/>
      <c r="HG202"/>
      <c r="HH202"/>
      <c r="HI202"/>
      <c r="HJ202"/>
      <c r="HK202"/>
      <c r="HL202"/>
      <c r="HM202"/>
      <c r="HN202"/>
      <c r="HO202"/>
      <c r="HP202"/>
      <c r="HQ202"/>
      <c r="HR202"/>
      <c r="HS202"/>
      <c r="HT202"/>
      <c r="HU202"/>
      <c r="HV202"/>
      <c r="HW202"/>
      <c r="HX202"/>
      <c r="HY202"/>
      <c r="HZ202"/>
      <c r="IA202"/>
      <c r="IB202"/>
      <c r="IC202"/>
      <c r="ID202"/>
      <c r="IE202"/>
      <c r="IF202"/>
      <c r="IG202"/>
      <c r="IH202"/>
      <c r="II202"/>
      <c r="IJ202"/>
      <c r="IK202"/>
      <c r="IL202"/>
      <c r="IM202"/>
      <c r="IN202"/>
      <c r="IO202"/>
      <c r="IP202"/>
      <c r="IQ202"/>
      <c r="IR202"/>
    </row>
    <row r="203" spans="1:25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  <c r="HB203"/>
      <c r="HC203"/>
      <c r="HD203"/>
      <c r="HE203"/>
      <c r="HF203"/>
      <c r="HG203"/>
      <c r="HH203"/>
      <c r="HI203"/>
      <c r="HJ203"/>
      <c r="HK203"/>
      <c r="HL203"/>
      <c r="HM203"/>
      <c r="HN203"/>
      <c r="HO203"/>
      <c r="HP203"/>
      <c r="HQ203"/>
      <c r="HR203"/>
      <c r="HS203"/>
      <c r="HT203"/>
      <c r="HU203"/>
      <c r="HV203"/>
      <c r="HW203"/>
      <c r="HX203"/>
      <c r="HY203"/>
      <c r="HZ203"/>
      <c r="IA203"/>
      <c r="IB203"/>
      <c r="IC203"/>
      <c r="ID203"/>
      <c r="IE203"/>
      <c r="IF203"/>
      <c r="IG203"/>
      <c r="IH203"/>
      <c r="II203"/>
      <c r="IJ203"/>
      <c r="IK203"/>
      <c r="IL203"/>
      <c r="IM203"/>
      <c r="IN203"/>
      <c r="IO203"/>
      <c r="IP203"/>
      <c r="IQ203"/>
      <c r="IR203"/>
    </row>
    <row r="204" spans="1:25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  <c r="HB204"/>
      <c r="HC204"/>
      <c r="HD204"/>
      <c r="HE204"/>
      <c r="HF204"/>
      <c r="HG204"/>
      <c r="HH204"/>
      <c r="HI204"/>
      <c r="HJ204"/>
      <c r="HK204"/>
      <c r="HL204"/>
      <c r="HM204"/>
      <c r="HN204"/>
      <c r="HO204"/>
      <c r="HP204"/>
      <c r="HQ204"/>
      <c r="HR204"/>
      <c r="HS204"/>
      <c r="HT204"/>
      <c r="HU204"/>
      <c r="HV204"/>
      <c r="HW204"/>
      <c r="HX204"/>
      <c r="HY204"/>
      <c r="HZ204"/>
      <c r="IA204"/>
      <c r="IB204"/>
      <c r="IC204"/>
      <c r="ID204"/>
      <c r="IE204"/>
      <c r="IF204"/>
      <c r="IG204"/>
      <c r="IH204"/>
      <c r="II204"/>
      <c r="IJ204"/>
      <c r="IK204"/>
      <c r="IL204"/>
      <c r="IM204"/>
      <c r="IN204"/>
      <c r="IO204"/>
      <c r="IP204"/>
      <c r="IQ204"/>
      <c r="IR204"/>
    </row>
    <row r="205" spans="1:25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  <c r="HB205"/>
      <c r="HC205"/>
      <c r="HD205"/>
      <c r="HE205"/>
      <c r="HF205"/>
      <c r="HG205"/>
      <c r="HH205"/>
      <c r="HI205"/>
      <c r="HJ205"/>
      <c r="HK205"/>
      <c r="HL205"/>
      <c r="HM205"/>
      <c r="HN205"/>
      <c r="HO205"/>
      <c r="HP205"/>
      <c r="HQ205"/>
      <c r="HR205"/>
      <c r="HS205"/>
      <c r="HT205"/>
      <c r="HU205"/>
      <c r="HV205"/>
      <c r="HW205"/>
      <c r="HX205"/>
      <c r="HY205"/>
      <c r="HZ205"/>
      <c r="IA205"/>
      <c r="IB205"/>
      <c r="IC205"/>
      <c r="ID205"/>
      <c r="IE205"/>
      <c r="IF205"/>
      <c r="IG205"/>
      <c r="IH205"/>
      <c r="II205"/>
      <c r="IJ205"/>
      <c r="IK205"/>
      <c r="IL205"/>
      <c r="IM205"/>
      <c r="IN205"/>
      <c r="IO205"/>
      <c r="IP205"/>
      <c r="IQ205"/>
      <c r="IR205"/>
    </row>
    <row r="206" spans="1:25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  <c r="HB206"/>
      <c r="HC206"/>
      <c r="HD206"/>
      <c r="HE206"/>
      <c r="HF206"/>
      <c r="HG206"/>
      <c r="HH206"/>
      <c r="HI206"/>
      <c r="HJ206"/>
      <c r="HK206"/>
      <c r="HL206"/>
      <c r="HM206"/>
      <c r="HN206"/>
      <c r="HO206"/>
      <c r="HP206"/>
      <c r="HQ206"/>
      <c r="HR206"/>
      <c r="HS206"/>
      <c r="HT206"/>
      <c r="HU206"/>
      <c r="HV206"/>
      <c r="HW206"/>
      <c r="HX206"/>
      <c r="HY206"/>
      <c r="HZ206"/>
      <c r="IA206"/>
      <c r="IB206"/>
      <c r="IC206"/>
      <c r="ID206"/>
      <c r="IE206"/>
      <c r="IF206"/>
      <c r="IG206"/>
      <c r="IH206"/>
      <c r="II206"/>
      <c r="IJ206"/>
      <c r="IK206"/>
      <c r="IL206"/>
      <c r="IM206"/>
      <c r="IN206"/>
      <c r="IO206"/>
      <c r="IP206"/>
      <c r="IQ206"/>
      <c r="IR206"/>
    </row>
    <row r="207" spans="1:25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  <c r="HB207"/>
      <c r="HC207"/>
      <c r="HD207"/>
      <c r="HE207"/>
      <c r="HF207"/>
      <c r="HG207"/>
      <c r="HH207"/>
      <c r="HI207"/>
      <c r="HJ207"/>
      <c r="HK207"/>
      <c r="HL207"/>
      <c r="HM207"/>
      <c r="HN207"/>
      <c r="HO207"/>
      <c r="HP207"/>
      <c r="HQ207"/>
      <c r="HR207"/>
      <c r="HS207"/>
      <c r="HT207"/>
      <c r="HU207"/>
      <c r="HV207"/>
      <c r="HW207"/>
      <c r="HX207"/>
      <c r="HY207"/>
      <c r="HZ207"/>
      <c r="IA207"/>
      <c r="IB207"/>
      <c r="IC207"/>
      <c r="ID207"/>
      <c r="IE207"/>
      <c r="IF207"/>
      <c r="IG207"/>
      <c r="IH207"/>
      <c r="II207"/>
      <c r="IJ207"/>
      <c r="IK207"/>
      <c r="IL207"/>
      <c r="IM207"/>
      <c r="IN207"/>
      <c r="IO207"/>
      <c r="IP207"/>
      <c r="IQ207"/>
      <c r="IR207"/>
    </row>
    <row r="208" spans="1:25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  <c r="HB208"/>
      <c r="HC208"/>
      <c r="HD208"/>
      <c r="HE208"/>
      <c r="HF208"/>
      <c r="HG208"/>
      <c r="HH208"/>
      <c r="HI208"/>
      <c r="HJ208"/>
      <c r="HK208"/>
      <c r="HL208"/>
      <c r="HM208"/>
      <c r="HN208"/>
      <c r="HO208"/>
      <c r="HP208"/>
      <c r="HQ208"/>
      <c r="HR208"/>
      <c r="HS208"/>
      <c r="HT208"/>
      <c r="HU208"/>
      <c r="HV208"/>
      <c r="HW208"/>
      <c r="HX208"/>
      <c r="HY208"/>
      <c r="HZ208"/>
      <c r="IA208"/>
      <c r="IB208"/>
      <c r="IC208"/>
      <c r="ID208"/>
      <c r="IE208"/>
      <c r="IF208"/>
      <c r="IG208"/>
      <c r="IH208"/>
      <c r="II208"/>
      <c r="IJ208"/>
      <c r="IK208"/>
      <c r="IL208"/>
      <c r="IM208"/>
      <c r="IN208"/>
      <c r="IO208"/>
      <c r="IP208"/>
      <c r="IQ208"/>
      <c r="IR208"/>
    </row>
    <row r="209" spans="1:252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  <c r="HB209"/>
      <c r="HC209"/>
      <c r="HD209"/>
      <c r="HE209"/>
      <c r="HF209"/>
      <c r="HG209"/>
      <c r="HH209"/>
      <c r="HI209"/>
      <c r="HJ209"/>
      <c r="HK209"/>
      <c r="HL209"/>
      <c r="HM209"/>
      <c r="HN209"/>
      <c r="HO209"/>
      <c r="HP209"/>
      <c r="HQ209"/>
      <c r="HR209"/>
      <c r="HS209"/>
      <c r="HT209"/>
      <c r="HU209"/>
      <c r="HV209"/>
      <c r="HW209"/>
      <c r="HX209"/>
      <c r="HY209"/>
      <c r="HZ209"/>
      <c r="IA209"/>
      <c r="IB209"/>
      <c r="IC209"/>
      <c r="ID209"/>
      <c r="IE209"/>
      <c r="IF209"/>
      <c r="IG209"/>
      <c r="IH209"/>
      <c r="II209"/>
      <c r="IJ209"/>
      <c r="IK209"/>
      <c r="IL209"/>
      <c r="IM209"/>
      <c r="IN209"/>
      <c r="IO209"/>
      <c r="IP209"/>
      <c r="IQ209"/>
      <c r="IR209"/>
    </row>
    <row r="210" spans="1:252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  <c r="HB210"/>
      <c r="HC210"/>
      <c r="HD210"/>
      <c r="HE210"/>
      <c r="HF210"/>
      <c r="HG210"/>
      <c r="HH210"/>
      <c r="HI210"/>
      <c r="HJ210"/>
      <c r="HK210"/>
      <c r="HL210"/>
      <c r="HM210"/>
      <c r="HN210"/>
      <c r="HO210"/>
      <c r="HP210"/>
      <c r="HQ210"/>
      <c r="HR210"/>
      <c r="HS210"/>
      <c r="HT210"/>
      <c r="HU210"/>
      <c r="HV210"/>
      <c r="HW210"/>
      <c r="HX210"/>
      <c r="HY210"/>
      <c r="HZ210"/>
      <c r="IA210"/>
      <c r="IB210"/>
      <c r="IC210"/>
      <c r="ID210"/>
      <c r="IE210"/>
      <c r="IF210"/>
      <c r="IG210"/>
      <c r="IH210"/>
      <c r="II210"/>
      <c r="IJ210"/>
      <c r="IK210"/>
      <c r="IL210"/>
      <c r="IM210"/>
      <c r="IN210"/>
      <c r="IO210"/>
      <c r="IP210"/>
      <c r="IQ210"/>
      <c r="IR210"/>
    </row>
    <row r="211" spans="1:252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  <c r="HB211"/>
      <c r="HC211"/>
      <c r="HD211"/>
      <c r="HE211"/>
      <c r="HF211"/>
      <c r="HG211"/>
      <c r="HH211"/>
      <c r="HI211"/>
      <c r="HJ211"/>
      <c r="HK211"/>
      <c r="HL211"/>
      <c r="HM211"/>
      <c r="HN211"/>
      <c r="HO211"/>
      <c r="HP211"/>
      <c r="HQ211"/>
      <c r="HR211"/>
      <c r="HS211"/>
      <c r="HT211"/>
      <c r="HU211"/>
      <c r="HV211"/>
      <c r="HW211"/>
      <c r="HX211"/>
      <c r="HY211"/>
      <c r="HZ211"/>
      <c r="IA211"/>
      <c r="IB211"/>
      <c r="IC211"/>
      <c r="ID211"/>
      <c r="IE211"/>
      <c r="IF211"/>
      <c r="IG211"/>
      <c r="IH211"/>
      <c r="II211"/>
      <c r="IJ211"/>
      <c r="IK211"/>
      <c r="IL211"/>
      <c r="IM211"/>
      <c r="IN211"/>
      <c r="IO211"/>
      <c r="IP211"/>
      <c r="IQ211"/>
      <c r="IR211"/>
    </row>
    <row r="212" spans="1:252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  <c r="HB212"/>
      <c r="HC212"/>
      <c r="HD212"/>
      <c r="HE212"/>
      <c r="HF212"/>
      <c r="HG212"/>
      <c r="HH212"/>
      <c r="HI212"/>
      <c r="HJ212"/>
      <c r="HK212"/>
      <c r="HL212"/>
      <c r="HM212"/>
      <c r="HN212"/>
      <c r="HO212"/>
      <c r="HP212"/>
      <c r="HQ212"/>
      <c r="HR212"/>
      <c r="HS212"/>
      <c r="HT212"/>
      <c r="HU212"/>
      <c r="HV212"/>
      <c r="HW212"/>
      <c r="HX212"/>
      <c r="HY212"/>
      <c r="HZ212"/>
      <c r="IA212"/>
      <c r="IB212"/>
      <c r="IC212"/>
      <c r="ID212"/>
      <c r="IE212"/>
      <c r="IF212"/>
      <c r="IG212"/>
      <c r="IH212"/>
      <c r="II212"/>
      <c r="IJ212"/>
      <c r="IK212"/>
      <c r="IL212"/>
      <c r="IM212"/>
      <c r="IN212"/>
      <c r="IO212"/>
      <c r="IP212"/>
      <c r="IQ212"/>
      <c r="IR212"/>
    </row>
    <row r="213" spans="1:252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  <c r="HB213"/>
      <c r="HC213"/>
      <c r="HD213"/>
      <c r="HE213"/>
      <c r="HF213"/>
      <c r="HG213"/>
      <c r="HH213"/>
      <c r="HI213"/>
      <c r="HJ213"/>
      <c r="HK213"/>
      <c r="HL213"/>
      <c r="HM213"/>
      <c r="HN213"/>
      <c r="HO213"/>
      <c r="HP213"/>
      <c r="HQ213"/>
      <c r="HR213"/>
      <c r="HS213"/>
      <c r="HT213"/>
      <c r="HU213"/>
      <c r="HV213"/>
      <c r="HW213"/>
      <c r="HX213"/>
      <c r="HY213"/>
      <c r="HZ213"/>
      <c r="IA213"/>
      <c r="IB213"/>
      <c r="IC213"/>
      <c r="ID213"/>
      <c r="IE213"/>
      <c r="IF213"/>
      <c r="IG213"/>
      <c r="IH213"/>
      <c r="II213"/>
      <c r="IJ213"/>
      <c r="IK213"/>
      <c r="IL213"/>
      <c r="IM213"/>
      <c r="IN213"/>
      <c r="IO213"/>
      <c r="IP213"/>
      <c r="IQ213"/>
      <c r="IR213"/>
    </row>
    <row r="214" spans="1:252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  <c r="HB214"/>
      <c r="HC214"/>
      <c r="HD214"/>
      <c r="HE214"/>
      <c r="HF214"/>
      <c r="HG214"/>
      <c r="HH214"/>
      <c r="HI214"/>
      <c r="HJ214"/>
      <c r="HK214"/>
      <c r="HL214"/>
      <c r="HM214"/>
      <c r="HN214"/>
      <c r="HO214"/>
      <c r="HP214"/>
      <c r="HQ214"/>
      <c r="HR214"/>
      <c r="HS214"/>
      <c r="HT214"/>
      <c r="HU214"/>
      <c r="HV214"/>
      <c r="HW214"/>
      <c r="HX214"/>
      <c r="HY214"/>
      <c r="HZ214"/>
      <c r="IA214"/>
      <c r="IB214"/>
      <c r="IC214"/>
      <c r="ID214"/>
      <c r="IE214"/>
      <c r="IF214"/>
      <c r="IG214"/>
      <c r="IH214"/>
      <c r="II214"/>
      <c r="IJ214"/>
      <c r="IK214"/>
      <c r="IL214"/>
      <c r="IM214"/>
      <c r="IN214"/>
      <c r="IO214"/>
      <c r="IP214"/>
      <c r="IQ214"/>
      <c r="IR214"/>
    </row>
    <row r="215" spans="1:252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  <c r="HB215"/>
      <c r="HC215"/>
      <c r="HD215"/>
      <c r="HE215"/>
      <c r="HF215"/>
      <c r="HG215"/>
      <c r="HH215"/>
      <c r="HI215"/>
      <c r="HJ215"/>
      <c r="HK215"/>
      <c r="HL215"/>
      <c r="HM215"/>
      <c r="HN215"/>
      <c r="HO215"/>
      <c r="HP215"/>
      <c r="HQ215"/>
      <c r="HR215"/>
      <c r="HS215"/>
      <c r="HT215"/>
      <c r="HU215"/>
      <c r="HV215"/>
      <c r="HW215"/>
      <c r="HX215"/>
      <c r="HY215"/>
      <c r="HZ215"/>
      <c r="IA215"/>
      <c r="IB215"/>
      <c r="IC215"/>
      <c r="ID215"/>
      <c r="IE215"/>
      <c r="IF215"/>
      <c r="IG215"/>
      <c r="IH215"/>
      <c r="II215"/>
      <c r="IJ215"/>
      <c r="IK215"/>
      <c r="IL215"/>
      <c r="IM215"/>
      <c r="IN215"/>
      <c r="IO215"/>
      <c r="IP215"/>
      <c r="IQ215"/>
      <c r="IR215"/>
    </row>
    <row r="216" spans="1:252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  <c r="HB216"/>
      <c r="HC216"/>
      <c r="HD216"/>
      <c r="HE216"/>
      <c r="HF216"/>
      <c r="HG216"/>
      <c r="HH216"/>
      <c r="HI216"/>
      <c r="HJ216"/>
      <c r="HK216"/>
      <c r="HL216"/>
      <c r="HM216"/>
      <c r="HN216"/>
      <c r="HO216"/>
      <c r="HP216"/>
      <c r="HQ216"/>
      <c r="HR216"/>
      <c r="HS216"/>
      <c r="HT216"/>
      <c r="HU216"/>
      <c r="HV216"/>
      <c r="HW216"/>
      <c r="HX216"/>
      <c r="HY216"/>
      <c r="HZ216"/>
      <c r="IA216"/>
      <c r="IB216"/>
      <c r="IC216"/>
      <c r="ID216"/>
      <c r="IE216"/>
      <c r="IF216"/>
      <c r="IG216"/>
      <c r="IH216"/>
      <c r="II216"/>
      <c r="IJ216"/>
      <c r="IK216"/>
      <c r="IL216"/>
      <c r="IM216"/>
      <c r="IN216"/>
      <c r="IO216"/>
      <c r="IP216"/>
      <c r="IQ216"/>
      <c r="IR216"/>
    </row>
    <row r="217" spans="1:252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  <c r="HB217"/>
      <c r="HC217"/>
      <c r="HD217"/>
      <c r="HE217"/>
      <c r="HF217"/>
      <c r="HG217"/>
      <c r="HH217"/>
      <c r="HI217"/>
      <c r="HJ217"/>
      <c r="HK217"/>
      <c r="HL217"/>
      <c r="HM217"/>
      <c r="HN217"/>
      <c r="HO217"/>
      <c r="HP217"/>
      <c r="HQ217"/>
      <c r="HR217"/>
      <c r="HS217"/>
      <c r="HT217"/>
      <c r="HU217"/>
      <c r="HV217"/>
      <c r="HW217"/>
      <c r="HX217"/>
      <c r="HY217"/>
      <c r="HZ217"/>
      <c r="IA217"/>
      <c r="IB217"/>
      <c r="IC217"/>
      <c r="ID217"/>
      <c r="IE217"/>
      <c r="IF217"/>
      <c r="IG217"/>
      <c r="IH217"/>
      <c r="II217"/>
      <c r="IJ217"/>
      <c r="IK217"/>
      <c r="IL217"/>
      <c r="IM217"/>
      <c r="IN217"/>
      <c r="IO217"/>
      <c r="IP217"/>
      <c r="IQ217"/>
      <c r="IR217"/>
    </row>
    <row r="218" spans="1:252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  <c r="HB218"/>
      <c r="HC218"/>
      <c r="HD218"/>
      <c r="HE218"/>
      <c r="HF218"/>
      <c r="HG218"/>
      <c r="HH218"/>
      <c r="HI218"/>
      <c r="HJ218"/>
      <c r="HK218"/>
      <c r="HL218"/>
      <c r="HM218"/>
      <c r="HN218"/>
      <c r="HO218"/>
      <c r="HP218"/>
      <c r="HQ218"/>
      <c r="HR218"/>
      <c r="HS218"/>
      <c r="HT218"/>
      <c r="HU218"/>
      <c r="HV218"/>
      <c r="HW218"/>
      <c r="HX218"/>
      <c r="HY218"/>
      <c r="HZ218"/>
      <c r="IA218"/>
      <c r="IB218"/>
      <c r="IC218"/>
      <c r="ID218"/>
      <c r="IE218"/>
      <c r="IF218"/>
      <c r="IG218"/>
      <c r="IH218"/>
      <c r="II218"/>
      <c r="IJ218"/>
      <c r="IK218"/>
      <c r="IL218"/>
      <c r="IM218"/>
      <c r="IN218"/>
      <c r="IO218"/>
      <c r="IP218"/>
      <c r="IQ218"/>
      <c r="IR218"/>
    </row>
    <row r="219" spans="1:252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  <c r="HB219"/>
      <c r="HC219"/>
      <c r="HD219"/>
      <c r="HE219"/>
      <c r="HF219"/>
      <c r="HG219"/>
      <c r="HH219"/>
      <c r="HI219"/>
      <c r="HJ219"/>
      <c r="HK219"/>
      <c r="HL219"/>
      <c r="HM219"/>
      <c r="HN219"/>
      <c r="HO219"/>
      <c r="HP219"/>
      <c r="HQ219"/>
      <c r="HR219"/>
      <c r="HS219"/>
      <c r="HT219"/>
      <c r="HU219"/>
      <c r="HV219"/>
      <c r="HW219"/>
      <c r="HX219"/>
      <c r="HY219"/>
      <c r="HZ219"/>
      <c r="IA219"/>
      <c r="IB219"/>
      <c r="IC219"/>
      <c r="ID219"/>
      <c r="IE219"/>
      <c r="IF219"/>
      <c r="IG219"/>
      <c r="IH219"/>
      <c r="II219"/>
      <c r="IJ219"/>
      <c r="IK219"/>
      <c r="IL219"/>
      <c r="IM219"/>
      <c r="IN219"/>
      <c r="IO219"/>
      <c r="IP219"/>
      <c r="IQ219"/>
      <c r="IR219"/>
    </row>
    <row r="220" spans="1:252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  <c r="HB220"/>
      <c r="HC220"/>
      <c r="HD220"/>
      <c r="HE220"/>
      <c r="HF220"/>
      <c r="HG220"/>
      <c r="HH220"/>
      <c r="HI220"/>
      <c r="HJ220"/>
      <c r="HK220"/>
      <c r="HL220"/>
      <c r="HM220"/>
      <c r="HN220"/>
      <c r="HO220"/>
      <c r="HP220"/>
      <c r="HQ220"/>
      <c r="HR220"/>
      <c r="HS220"/>
      <c r="HT220"/>
      <c r="HU220"/>
      <c r="HV220"/>
      <c r="HW220"/>
      <c r="HX220"/>
      <c r="HY220"/>
      <c r="HZ220"/>
      <c r="IA220"/>
      <c r="IB220"/>
      <c r="IC220"/>
      <c r="ID220"/>
      <c r="IE220"/>
      <c r="IF220"/>
      <c r="IG220"/>
      <c r="IH220"/>
      <c r="II220"/>
      <c r="IJ220"/>
      <c r="IK220"/>
      <c r="IL220"/>
      <c r="IM220"/>
      <c r="IN220"/>
      <c r="IO220"/>
      <c r="IP220"/>
      <c r="IQ220"/>
      <c r="IR220"/>
    </row>
    <row r="221" spans="1:252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  <c r="HB221"/>
      <c r="HC221"/>
      <c r="HD221"/>
      <c r="HE221"/>
      <c r="HF221"/>
      <c r="HG221"/>
      <c r="HH221"/>
      <c r="HI221"/>
      <c r="HJ221"/>
      <c r="HK221"/>
      <c r="HL221"/>
      <c r="HM221"/>
      <c r="HN221"/>
      <c r="HO221"/>
      <c r="HP221"/>
      <c r="HQ221"/>
      <c r="HR221"/>
      <c r="HS221"/>
      <c r="HT221"/>
      <c r="HU221"/>
      <c r="HV221"/>
      <c r="HW221"/>
      <c r="HX221"/>
      <c r="HY221"/>
      <c r="HZ221"/>
      <c r="IA221"/>
      <c r="IB221"/>
      <c r="IC221"/>
      <c r="ID221"/>
      <c r="IE221"/>
      <c r="IF221"/>
      <c r="IG221"/>
      <c r="IH221"/>
      <c r="II221"/>
      <c r="IJ221"/>
      <c r="IK221"/>
      <c r="IL221"/>
      <c r="IM221"/>
      <c r="IN221"/>
      <c r="IO221"/>
      <c r="IP221"/>
      <c r="IQ221"/>
      <c r="IR221"/>
    </row>
    <row r="222" spans="1:252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  <c r="HB222"/>
      <c r="HC222"/>
      <c r="HD222"/>
      <c r="HE222"/>
      <c r="HF222"/>
      <c r="HG222"/>
      <c r="HH222"/>
      <c r="HI222"/>
      <c r="HJ222"/>
      <c r="HK222"/>
      <c r="HL222"/>
      <c r="HM222"/>
      <c r="HN222"/>
      <c r="HO222"/>
      <c r="HP222"/>
      <c r="HQ222"/>
      <c r="HR222"/>
      <c r="HS222"/>
      <c r="HT222"/>
      <c r="HU222"/>
      <c r="HV222"/>
      <c r="HW222"/>
      <c r="HX222"/>
      <c r="HY222"/>
      <c r="HZ222"/>
      <c r="IA222"/>
      <c r="IB222"/>
      <c r="IC222"/>
      <c r="ID222"/>
      <c r="IE222"/>
      <c r="IF222"/>
      <c r="IG222"/>
      <c r="IH222"/>
      <c r="II222"/>
      <c r="IJ222"/>
      <c r="IK222"/>
      <c r="IL222"/>
      <c r="IM222"/>
      <c r="IN222"/>
      <c r="IO222"/>
      <c r="IP222"/>
      <c r="IQ222"/>
      <c r="IR222"/>
    </row>
    <row r="223" spans="1:252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  <c r="HB223"/>
      <c r="HC223"/>
      <c r="HD223"/>
      <c r="HE223"/>
      <c r="HF223"/>
      <c r="HG223"/>
      <c r="HH223"/>
      <c r="HI223"/>
      <c r="HJ223"/>
      <c r="HK223"/>
      <c r="HL223"/>
      <c r="HM223"/>
      <c r="HN223"/>
      <c r="HO223"/>
      <c r="HP223"/>
      <c r="HQ223"/>
      <c r="HR223"/>
      <c r="HS223"/>
      <c r="HT223"/>
      <c r="HU223"/>
      <c r="HV223"/>
      <c r="HW223"/>
      <c r="HX223"/>
      <c r="HY223"/>
      <c r="HZ223"/>
      <c r="IA223"/>
      <c r="IB223"/>
      <c r="IC223"/>
      <c r="ID223"/>
      <c r="IE223"/>
      <c r="IF223"/>
      <c r="IG223"/>
      <c r="IH223"/>
      <c r="II223"/>
      <c r="IJ223"/>
      <c r="IK223"/>
      <c r="IL223"/>
      <c r="IM223"/>
      <c r="IN223"/>
      <c r="IO223"/>
      <c r="IP223"/>
      <c r="IQ223"/>
      <c r="IR223"/>
    </row>
    <row r="224" spans="1:252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  <c r="HB224"/>
      <c r="HC224"/>
      <c r="HD224"/>
      <c r="HE224"/>
      <c r="HF224"/>
      <c r="HG224"/>
      <c r="HH224"/>
      <c r="HI224"/>
      <c r="HJ224"/>
      <c r="HK224"/>
      <c r="HL224"/>
      <c r="HM224"/>
      <c r="HN224"/>
      <c r="HO224"/>
      <c r="HP224"/>
      <c r="HQ224"/>
      <c r="HR224"/>
      <c r="HS224"/>
      <c r="HT224"/>
      <c r="HU224"/>
      <c r="HV224"/>
      <c r="HW224"/>
      <c r="HX224"/>
      <c r="HY224"/>
      <c r="HZ224"/>
      <c r="IA224"/>
      <c r="IB224"/>
      <c r="IC224"/>
      <c r="ID224"/>
      <c r="IE224"/>
      <c r="IF224"/>
      <c r="IG224"/>
      <c r="IH224"/>
      <c r="II224"/>
      <c r="IJ224"/>
      <c r="IK224"/>
      <c r="IL224"/>
      <c r="IM224"/>
      <c r="IN224"/>
      <c r="IO224"/>
      <c r="IP224"/>
      <c r="IQ224"/>
      <c r="IR224"/>
    </row>
    <row r="225" spans="1:252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  <c r="HB225"/>
      <c r="HC225"/>
      <c r="HD225"/>
      <c r="HE225"/>
      <c r="HF225"/>
      <c r="HG225"/>
      <c r="HH225"/>
      <c r="HI225"/>
      <c r="HJ225"/>
      <c r="HK225"/>
      <c r="HL225"/>
      <c r="HM225"/>
      <c r="HN225"/>
      <c r="HO225"/>
      <c r="HP225"/>
      <c r="HQ225"/>
      <c r="HR225"/>
      <c r="HS225"/>
      <c r="HT225"/>
      <c r="HU225"/>
      <c r="HV225"/>
      <c r="HW225"/>
      <c r="HX225"/>
      <c r="HY225"/>
      <c r="HZ225"/>
      <c r="IA225"/>
      <c r="IB225"/>
      <c r="IC225"/>
      <c r="ID225"/>
      <c r="IE225"/>
      <c r="IF225"/>
      <c r="IG225"/>
      <c r="IH225"/>
      <c r="II225"/>
      <c r="IJ225"/>
      <c r="IK225"/>
      <c r="IL225"/>
      <c r="IM225"/>
      <c r="IN225"/>
      <c r="IO225"/>
      <c r="IP225"/>
      <c r="IQ225"/>
      <c r="IR225"/>
    </row>
    <row r="226" spans="1:252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  <c r="HB226"/>
      <c r="HC226"/>
      <c r="HD226"/>
      <c r="HE226"/>
      <c r="HF226"/>
      <c r="HG226"/>
      <c r="HH226"/>
      <c r="HI226"/>
      <c r="HJ226"/>
      <c r="HK226"/>
      <c r="HL226"/>
      <c r="HM226"/>
      <c r="HN226"/>
      <c r="HO226"/>
      <c r="HP226"/>
      <c r="HQ226"/>
      <c r="HR226"/>
      <c r="HS226"/>
      <c r="HT226"/>
      <c r="HU226"/>
      <c r="HV226"/>
      <c r="HW226"/>
      <c r="HX226"/>
      <c r="HY226"/>
      <c r="HZ226"/>
      <c r="IA226"/>
      <c r="IB226"/>
      <c r="IC226"/>
      <c r="ID226"/>
      <c r="IE226"/>
      <c r="IF226"/>
      <c r="IG226"/>
      <c r="IH226"/>
      <c r="II226"/>
      <c r="IJ226"/>
      <c r="IK226"/>
      <c r="IL226"/>
      <c r="IM226"/>
      <c r="IN226"/>
      <c r="IO226"/>
      <c r="IP226"/>
      <c r="IQ226"/>
      <c r="IR226"/>
    </row>
    <row r="227" spans="1:252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  <c r="HB227"/>
      <c r="HC227"/>
      <c r="HD227"/>
      <c r="HE227"/>
      <c r="HF227"/>
      <c r="HG227"/>
      <c r="HH227"/>
      <c r="HI227"/>
      <c r="HJ227"/>
      <c r="HK227"/>
      <c r="HL227"/>
      <c r="HM227"/>
      <c r="HN227"/>
      <c r="HO227"/>
      <c r="HP227"/>
      <c r="HQ227"/>
      <c r="HR227"/>
      <c r="HS227"/>
      <c r="HT227"/>
      <c r="HU227"/>
      <c r="HV227"/>
      <c r="HW227"/>
      <c r="HX227"/>
      <c r="HY227"/>
      <c r="HZ227"/>
      <c r="IA227"/>
      <c r="IB227"/>
      <c r="IC227"/>
      <c r="ID227"/>
      <c r="IE227"/>
      <c r="IF227"/>
      <c r="IG227"/>
      <c r="IH227"/>
      <c r="II227"/>
      <c r="IJ227"/>
      <c r="IK227"/>
      <c r="IL227"/>
      <c r="IM227"/>
      <c r="IN227"/>
      <c r="IO227"/>
      <c r="IP227"/>
      <c r="IQ227"/>
      <c r="IR227"/>
    </row>
    <row r="228" spans="1:252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  <c r="HB228"/>
      <c r="HC228"/>
      <c r="HD228"/>
      <c r="HE228"/>
      <c r="HF228"/>
      <c r="HG228"/>
      <c r="HH228"/>
      <c r="HI228"/>
      <c r="HJ228"/>
      <c r="HK228"/>
      <c r="HL228"/>
      <c r="HM228"/>
      <c r="HN228"/>
      <c r="HO228"/>
      <c r="HP228"/>
      <c r="HQ228"/>
      <c r="HR228"/>
      <c r="HS228"/>
      <c r="HT228"/>
      <c r="HU228"/>
      <c r="HV228"/>
      <c r="HW228"/>
      <c r="HX228"/>
      <c r="HY228"/>
      <c r="HZ228"/>
      <c r="IA228"/>
      <c r="IB228"/>
      <c r="IC228"/>
      <c r="ID228"/>
      <c r="IE228"/>
      <c r="IF228"/>
      <c r="IG228"/>
      <c r="IH228"/>
      <c r="II228"/>
      <c r="IJ228"/>
      <c r="IK228"/>
      <c r="IL228"/>
      <c r="IM228"/>
      <c r="IN228"/>
      <c r="IO228"/>
      <c r="IP228"/>
      <c r="IQ228"/>
      <c r="IR228"/>
    </row>
    <row r="229" spans="1:252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  <c r="HB229"/>
      <c r="HC229"/>
      <c r="HD229"/>
      <c r="HE229"/>
      <c r="HF229"/>
      <c r="HG229"/>
      <c r="HH229"/>
      <c r="HI229"/>
      <c r="HJ229"/>
      <c r="HK229"/>
      <c r="HL229"/>
      <c r="HM229"/>
      <c r="HN229"/>
      <c r="HO229"/>
      <c r="HP229"/>
      <c r="HQ229"/>
      <c r="HR229"/>
      <c r="HS229"/>
      <c r="HT229"/>
      <c r="HU229"/>
      <c r="HV229"/>
      <c r="HW229"/>
      <c r="HX229"/>
      <c r="HY229"/>
      <c r="HZ229"/>
      <c r="IA229"/>
      <c r="IB229"/>
      <c r="IC229"/>
      <c r="ID229"/>
      <c r="IE229"/>
      <c r="IF229"/>
      <c r="IG229"/>
      <c r="IH229"/>
      <c r="II229"/>
      <c r="IJ229"/>
      <c r="IK229"/>
      <c r="IL229"/>
      <c r="IM229"/>
      <c r="IN229"/>
      <c r="IO229"/>
      <c r="IP229"/>
      <c r="IQ229"/>
      <c r="IR229"/>
    </row>
    <row r="230" spans="1:252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  <c r="HB230"/>
      <c r="HC230"/>
      <c r="HD230"/>
      <c r="HE230"/>
      <c r="HF230"/>
      <c r="HG230"/>
      <c r="HH230"/>
      <c r="HI230"/>
      <c r="HJ230"/>
      <c r="HK230"/>
      <c r="HL230"/>
      <c r="HM230"/>
      <c r="HN230"/>
      <c r="HO230"/>
      <c r="HP230"/>
      <c r="HQ230"/>
      <c r="HR230"/>
      <c r="HS230"/>
      <c r="HT230"/>
      <c r="HU230"/>
      <c r="HV230"/>
      <c r="HW230"/>
      <c r="HX230"/>
      <c r="HY230"/>
      <c r="HZ230"/>
      <c r="IA230"/>
      <c r="IB230"/>
      <c r="IC230"/>
      <c r="ID230"/>
      <c r="IE230"/>
      <c r="IF230"/>
      <c r="IG230"/>
      <c r="IH230"/>
      <c r="II230"/>
      <c r="IJ230"/>
      <c r="IK230"/>
      <c r="IL230"/>
      <c r="IM230"/>
      <c r="IN230"/>
      <c r="IO230"/>
      <c r="IP230"/>
      <c r="IQ230"/>
      <c r="IR230"/>
    </row>
    <row r="231" spans="1:252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  <c r="HB231"/>
      <c r="HC231"/>
      <c r="HD231"/>
      <c r="HE231"/>
      <c r="HF231"/>
      <c r="HG231"/>
      <c r="HH231"/>
      <c r="HI231"/>
      <c r="HJ231"/>
      <c r="HK231"/>
      <c r="HL231"/>
      <c r="HM231"/>
      <c r="HN231"/>
      <c r="HO231"/>
      <c r="HP231"/>
      <c r="HQ231"/>
      <c r="HR231"/>
      <c r="HS231"/>
      <c r="HT231"/>
      <c r="HU231"/>
      <c r="HV231"/>
      <c r="HW231"/>
      <c r="HX231"/>
      <c r="HY231"/>
      <c r="HZ231"/>
      <c r="IA231"/>
      <c r="IB231"/>
      <c r="IC231"/>
      <c r="ID231"/>
      <c r="IE231"/>
      <c r="IF231"/>
      <c r="IG231"/>
      <c r="IH231"/>
      <c r="II231"/>
      <c r="IJ231"/>
      <c r="IK231"/>
      <c r="IL231"/>
      <c r="IM231"/>
      <c r="IN231"/>
      <c r="IO231"/>
      <c r="IP231"/>
      <c r="IQ231"/>
      <c r="IR231"/>
    </row>
    <row r="232" spans="1:252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  <c r="HB232"/>
      <c r="HC232"/>
      <c r="HD232"/>
      <c r="HE232"/>
      <c r="HF232"/>
      <c r="HG232"/>
      <c r="HH232"/>
      <c r="HI232"/>
      <c r="HJ232"/>
      <c r="HK232"/>
      <c r="HL232"/>
      <c r="HM232"/>
      <c r="HN232"/>
      <c r="HO232"/>
      <c r="HP232"/>
      <c r="HQ232"/>
      <c r="HR232"/>
      <c r="HS232"/>
      <c r="HT232"/>
      <c r="HU232"/>
      <c r="HV232"/>
      <c r="HW232"/>
      <c r="HX232"/>
      <c r="HY232"/>
      <c r="HZ232"/>
      <c r="IA232"/>
      <c r="IB232"/>
      <c r="IC232"/>
      <c r="ID232"/>
      <c r="IE232"/>
      <c r="IF232"/>
      <c r="IG232"/>
      <c r="IH232"/>
      <c r="II232"/>
      <c r="IJ232"/>
      <c r="IK232"/>
      <c r="IL232"/>
      <c r="IM232"/>
      <c r="IN232"/>
      <c r="IO232"/>
      <c r="IP232"/>
      <c r="IQ232"/>
      <c r="IR232"/>
    </row>
    <row r="233" spans="1:252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  <c r="HB233"/>
      <c r="HC233"/>
      <c r="HD233"/>
      <c r="HE233"/>
      <c r="HF233"/>
      <c r="HG233"/>
      <c r="HH233"/>
      <c r="HI233"/>
      <c r="HJ233"/>
      <c r="HK233"/>
      <c r="HL233"/>
      <c r="HM233"/>
      <c r="HN233"/>
      <c r="HO233"/>
      <c r="HP233"/>
      <c r="HQ233"/>
      <c r="HR233"/>
      <c r="HS233"/>
      <c r="HT233"/>
      <c r="HU233"/>
      <c r="HV233"/>
      <c r="HW233"/>
      <c r="HX233"/>
      <c r="HY233"/>
      <c r="HZ233"/>
      <c r="IA233"/>
      <c r="IB233"/>
      <c r="IC233"/>
      <c r="ID233"/>
      <c r="IE233"/>
      <c r="IF233"/>
      <c r="IG233"/>
      <c r="IH233"/>
      <c r="II233"/>
      <c r="IJ233"/>
      <c r="IK233"/>
      <c r="IL233"/>
      <c r="IM233"/>
      <c r="IN233"/>
      <c r="IO233"/>
      <c r="IP233"/>
      <c r="IQ233"/>
      <c r="IR233"/>
    </row>
    <row r="234" spans="1:252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  <c r="HB234"/>
      <c r="HC234"/>
      <c r="HD234"/>
      <c r="HE234"/>
      <c r="HF234"/>
      <c r="HG234"/>
      <c r="HH234"/>
      <c r="HI234"/>
      <c r="HJ234"/>
      <c r="HK234"/>
      <c r="HL234"/>
      <c r="HM234"/>
      <c r="HN234"/>
      <c r="HO234"/>
      <c r="HP234"/>
      <c r="HQ234"/>
      <c r="HR234"/>
      <c r="HS234"/>
      <c r="HT234"/>
      <c r="HU234"/>
      <c r="HV234"/>
      <c r="HW234"/>
      <c r="HX234"/>
      <c r="HY234"/>
      <c r="HZ234"/>
      <c r="IA234"/>
      <c r="IB234"/>
      <c r="IC234"/>
      <c r="ID234"/>
      <c r="IE234"/>
      <c r="IF234"/>
      <c r="IG234"/>
      <c r="IH234"/>
      <c r="II234"/>
      <c r="IJ234"/>
      <c r="IK234"/>
      <c r="IL234"/>
      <c r="IM234"/>
      <c r="IN234"/>
      <c r="IO234"/>
      <c r="IP234"/>
      <c r="IQ234"/>
      <c r="IR234"/>
    </row>
  </sheetData>
  <autoFilter ref="A14:O115">
    <filterColumn colId="1" showButton="0"/>
    <filterColumn colId="2" showButton="0"/>
    <filterColumn colId="3" showButton="0"/>
    <filterColumn colId="4" showButton="0"/>
    <filterColumn colId="5" showButton="0"/>
    <filterColumn colId="6" showButton="0"/>
    <filterColumn colId="7" showButton="0"/>
    <filterColumn colId="12">
      <customFilters>
        <customFilter operator="greaterThan" val="0"/>
      </customFilters>
    </filterColumn>
  </autoFilter>
  <mergeCells count="113">
    <mergeCell ref="B80:I80"/>
    <mergeCell ref="B73:I73"/>
    <mergeCell ref="B74:I74"/>
    <mergeCell ref="B75:I75"/>
    <mergeCell ref="B76:I76"/>
    <mergeCell ref="B77:I77"/>
    <mergeCell ref="B68:I68"/>
    <mergeCell ref="B69:I69"/>
    <mergeCell ref="B70:I70"/>
    <mergeCell ref="B71:I71"/>
    <mergeCell ref="B72:I72"/>
    <mergeCell ref="B78:I78"/>
    <mergeCell ref="B50:I50"/>
    <mergeCell ref="B51:I51"/>
    <mergeCell ref="B52:I52"/>
    <mergeCell ref="B63:I63"/>
    <mergeCell ref="B64:I64"/>
    <mergeCell ref="B28:I28"/>
    <mergeCell ref="B29:I29"/>
    <mergeCell ref="B14:I14"/>
    <mergeCell ref="B79:I79"/>
    <mergeCell ref="B65:I65"/>
    <mergeCell ref="B66:I66"/>
    <mergeCell ref="B67:I67"/>
    <mergeCell ref="B58:I58"/>
    <mergeCell ref="B59:I59"/>
    <mergeCell ref="B60:I60"/>
    <mergeCell ref="B61:I61"/>
    <mergeCell ref="B62:I62"/>
    <mergeCell ref="B56:I56"/>
    <mergeCell ref="B57:I57"/>
    <mergeCell ref="B107:I107"/>
    <mergeCell ref="B81:I81"/>
    <mergeCell ref="B82:I82"/>
    <mergeCell ref="B83:I83"/>
    <mergeCell ref="B35:I35"/>
    <mergeCell ref="B36:I36"/>
    <mergeCell ref="B37:I37"/>
    <mergeCell ref="B38:I38"/>
    <mergeCell ref="B39:I39"/>
    <mergeCell ref="B40:I40"/>
    <mergeCell ref="B41:I41"/>
    <mergeCell ref="B42:I42"/>
    <mergeCell ref="B43:I43"/>
    <mergeCell ref="B44:I44"/>
    <mergeCell ref="B45:I45"/>
    <mergeCell ref="B46:I46"/>
    <mergeCell ref="B47:I47"/>
    <mergeCell ref="B53:I53"/>
    <mergeCell ref="B54:I54"/>
    <mergeCell ref="B55:I55"/>
    <mergeCell ref="B87:I87"/>
    <mergeCell ref="B88:I88"/>
    <mergeCell ref="B48:I48"/>
    <mergeCell ref="B49:I49"/>
    <mergeCell ref="B111:I111"/>
    <mergeCell ref="A9:B9"/>
    <mergeCell ref="D10:I10"/>
    <mergeCell ref="A11:B11"/>
    <mergeCell ref="A12:B12"/>
    <mergeCell ref="B95:I95"/>
    <mergeCell ref="B96:I96"/>
    <mergeCell ref="B97:I97"/>
    <mergeCell ref="B99:I99"/>
    <mergeCell ref="B100:I100"/>
    <mergeCell ref="B101:I101"/>
    <mergeCell ref="B102:I102"/>
    <mergeCell ref="B103:I103"/>
    <mergeCell ref="B104:I104"/>
    <mergeCell ref="B30:I30"/>
    <mergeCell ref="B31:I31"/>
    <mergeCell ref="B32:I32"/>
    <mergeCell ref="B33:I33"/>
    <mergeCell ref="B34:I34"/>
    <mergeCell ref="B110:I110"/>
    <mergeCell ref="B15:I15"/>
    <mergeCell ref="B16:I16"/>
    <mergeCell ref="B17:I17"/>
    <mergeCell ref="B18:I18"/>
    <mergeCell ref="B89:I89"/>
    <mergeCell ref="B90:I90"/>
    <mergeCell ref="B91:I91"/>
    <mergeCell ref="B92:I92"/>
    <mergeCell ref="B108:I108"/>
    <mergeCell ref="B109:I109"/>
    <mergeCell ref="B93:I93"/>
    <mergeCell ref="B94:I94"/>
    <mergeCell ref="M12:O12"/>
    <mergeCell ref="B84:I84"/>
    <mergeCell ref="B85:I85"/>
    <mergeCell ref="B86:I86"/>
    <mergeCell ref="B98:I98"/>
    <mergeCell ref="B19:I19"/>
    <mergeCell ref="B20:I20"/>
    <mergeCell ref="B21:I21"/>
    <mergeCell ref="B22:I22"/>
    <mergeCell ref="B23:I23"/>
    <mergeCell ref="B24:I24"/>
    <mergeCell ref="B25:I25"/>
    <mergeCell ref="B26:I26"/>
    <mergeCell ref="B27:I27"/>
    <mergeCell ref="B105:I105"/>
    <mergeCell ref="B106:I106"/>
    <mergeCell ref="B122:F122"/>
    <mergeCell ref="B115:I115"/>
    <mergeCell ref="B119:L119"/>
    <mergeCell ref="B120:F120"/>
    <mergeCell ref="L120:N120"/>
    <mergeCell ref="B121:F121"/>
    <mergeCell ref="L121:N121"/>
    <mergeCell ref="B112:I112"/>
    <mergeCell ref="B113:I113"/>
    <mergeCell ref="B114:I114"/>
  </mergeCells>
  <pageMargins left="0.7" right="0.7" top="0.75" bottom="0.75" header="0.3" footer="0.3"/>
  <pageSetup scale="75" orientation="portrait" r:id="rId1"/>
  <colBreaks count="1" manualBreakCount="1">
    <brk id="15" max="1048575" man="1"/>
  </col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 filterMode="1"/>
  <dimension ref="A1:IJ125"/>
  <sheetViews>
    <sheetView tabSelected="1" zoomScaleSheetLayoutView="100" workbookViewId="0">
      <selection activeCell="I112" sqref="I112"/>
    </sheetView>
  </sheetViews>
  <sheetFormatPr defaultRowHeight="15"/>
  <cols>
    <col min="1" max="1" width="5.140625" style="1" customWidth="1"/>
    <col min="2" max="2" width="30.7109375" style="2" customWidth="1"/>
    <col min="3" max="3" width="5.5703125" style="1" customWidth="1"/>
    <col min="4" max="4" width="6.5703125" style="2" customWidth="1"/>
    <col min="5" max="5" width="13.140625" style="59" customWidth="1"/>
    <col min="6" max="6" width="11.85546875" style="60" customWidth="1"/>
    <col min="7" max="7" width="10.85546875" style="60" customWidth="1"/>
    <col min="8" max="8" width="12.42578125" style="60" customWidth="1"/>
    <col min="9" max="244" width="9.7109375" style="2" customWidth="1"/>
    <col min="245" max="1016" width="9.7109375" customWidth="1"/>
    <col min="1017" max="1017" width="10.28515625" customWidth="1"/>
  </cols>
  <sheetData>
    <row r="1" spans="1:244" ht="19.5" customHeight="1">
      <c r="A1" s="221" t="s">
        <v>136</v>
      </c>
      <c r="B1" s="221"/>
      <c r="C1" s="221"/>
      <c r="D1" s="221"/>
      <c r="E1" s="221"/>
      <c r="F1" s="221"/>
      <c r="G1" s="221"/>
      <c r="H1" s="22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</row>
    <row r="2" spans="1:244">
      <c r="A2" s="227" t="s">
        <v>131</v>
      </c>
      <c r="B2" s="227"/>
      <c r="C2" s="227"/>
      <c r="D2" s="227"/>
      <c r="E2" s="227"/>
      <c r="F2" s="227"/>
      <c r="G2" s="227"/>
      <c r="H2" s="227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</row>
    <row r="3" spans="1:244">
      <c r="A3" s="86"/>
      <c r="B3" s="86"/>
      <c r="C3" s="86"/>
      <c r="D3" s="86"/>
      <c r="E3" s="88" t="s">
        <v>2</v>
      </c>
      <c r="F3" s="222" t="s">
        <v>3</v>
      </c>
      <c r="G3" s="222"/>
      <c r="H3" s="222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</row>
    <row r="4" spans="1:244">
      <c r="A4" s="86"/>
      <c r="B4" s="86"/>
      <c r="C4" s="86"/>
      <c r="D4" s="86"/>
      <c r="E4" s="87" t="s">
        <v>137</v>
      </c>
      <c r="F4" s="223">
        <v>310939840</v>
      </c>
      <c r="G4" s="223"/>
      <c r="H4" s="223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</row>
    <row r="5" spans="1:244" ht="15.75">
      <c r="A5" s="226" t="s">
        <v>132</v>
      </c>
      <c r="B5" s="226"/>
      <c r="C5" s="232" t="s">
        <v>224</v>
      </c>
      <c r="D5" s="232"/>
      <c r="E5" s="232"/>
      <c r="F5" s="233" t="s">
        <v>133</v>
      </c>
      <c r="G5" s="233"/>
      <c r="H5" s="233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</row>
    <row r="6" spans="1:244">
      <c r="A6" s="236" t="s">
        <v>231</v>
      </c>
      <c r="B6" s="236"/>
      <c r="C6" s="236"/>
      <c r="D6" s="236"/>
      <c r="E6" s="236"/>
      <c r="F6" s="234" t="s">
        <v>134</v>
      </c>
      <c r="G6" s="234"/>
      <c r="H6" s="234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</row>
    <row r="7" spans="1:244" ht="15.75" customHeight="1">
      <c r="A7" s="228" t="s">
        <v>225</v>
      </c>
      <c r="B7" s="228"/>
      <c r="C7" s="228"/>
      <c r="D7" s="228"/>
      <c r="E7" s="228"/>
      <c r="F7" s="235" t="s">
        <v>13</v>
      </c>
      <c r="G7" s="235"/>
      <c r="H7" s="235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</row>
    <row r="8" spans="1:244" ht="15.75">
      <c r="A8" s="231" t="s">
        <v>226</v>
      </c>
      <c r="B8" s="231"/>
      <c r="C8" s="231"/>
      <c r="D8" s="231"/>
      <c r="E8" s="231"/>
      <c r="F8" s="224"/>
      <c r="G8" s="224"/>
      <c r="H8" s="224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</row>
    <row r="9" spans="1:244">
      <c r="A9" s="229" t="s">
        <v>227</v>
      </c>
      <c r="B9" s="230"/>
      <c r="C9" s="230"/>
      <c r="D9" s="230"/>
      <c r="E9" s="230"/>
      <c r="F9" s="225" t="s">
        <v>135</v>
      </c>
      <c r="G9" s="225"/>
      <c r="H9" s="225"/>
      <c r="K9" s="196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</row>
    <row r="10" spans="1:244" ht="15.75">
      <c r="A10" s="193"/>
      <c r="B10" s="206" t="s">
        <v>243</v>
      </c>
      <c r="C10" s="193"/>
      <c r="D10" s="193"/>
      <c r="E10" s="197"/>
      <c r="F10" s="194"/>
      <c r="G10" s="194"/>
      <c r="H10" s="194"/>
      <c r="I10" s="198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</row>
    <row r="11" spans="1:244" ht="39.75" customHeight="1">
      <c r="A11" s="202" t="s">
        <v>40</v>
      </c>
      <c r="B11" s="203" t="s">
        <v>41</v>
      </c>
      <c r="C11" s="202" t="s">
        <v>16</v>
      </c>
      <c r="D11" s="202" t="s">
        <v>17</v>
      </c>
      <c r="E11" s="204" t="s">
        <v>42</v>
      </c>
      <c r="F11" s="205" t="s">
        <v>18</v>
      </c>
      <c r="G11" s="205" t="s">
        <v>130</v>
      </c>
      <c r="H11" s="205" t="s">
        <v>20</v>
      </c>
      <c r="K11" s="123"/>
      <c r="L11" s="123"/>
      <c r="M11" s="123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</row>
    <row r="12" spans="1:244" ht="19.5" customHeight="1">
      <c r="A12" s="195">
        <v>1</v>
      </c>
      <c r="B12" s="199" t="s">
        <v>151</v>
      </c>
      <c r="C12" s="199" t="s">
        <v>46</v>
      </c>
      <c r="D12" s="199">
        <v>4</v>
      </c>
      <c r="E12" s="200">
        <v>21500</v>
      </c>
      <c r="F12" s="201">
        <f>E12*D12</f>
        <v>86000</v>
      </c>
      <c r="G12" s="201">
        <f>F12*10%</f>
        <v>8600</v>
      </c>
      <c r="H12" s="201">
        <f>F12+G12</f>
        <v>94600</v>
      </c>
      <c r="J12" s="198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</row>
    <row r="13" spans="1:244" ht="19.5" customHeight="1">
      <c r="A13" s="195">
        <v>2</v>
      </c>
      <c r="B13" s="130" t="s">
        <v>50</v>
      </c>
      <c r="C13" s="130" t="s">
        <v>51</v>
      </c>
      <c r="D13" s="130">
        <v>10</v>
      </c>
      <c r="E13" s="200">
        <f>IFERROR(VLOOKUP(B13,DATA!$A$2:$C$200,3,0),0)</f>
        <v>1200</v>
      </c>
      <c r="F13" s="201">
        <f t="shared" ref="F13:F28" si="0">E13*D13</f>
        <v>12000</v>
      </c>
      <c r="G13" s="201">
        <f t="shared" ref="G13:G28" si="1">F13*10%</f>
        <v>1200</v>
      </c>
      <c r="H13" s="201">
        <f t="shared" ref="H13:H28" si="2">F13+G13</f>
        <v>13200</v>
      </c>
      <c r="I13" s="124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</row>
    <row r="14" spans="1:244" ht="19.5" customHeight="1">
      <c r="A14" s="195">
        <v>3</v>
      </c>
      <c r="B14" s="130" t="s">
        <v>161</v>
      </c>
      <c r="C14" s="130" t="s">
        <v>53</v>
      </c>
      <c r="D14" s="130">
        <v>50</v>
      </c>
      <c r="E14" s="200">
        <v>280</v>
      </c>
      <c r="F14" s="201">
        <f t="shared" si="0"/>
        <v>14000</v>
      </c>
      <c r="G14" s="201">
        <f t="shared" si="1"/>
        <v>1400</v>
      </c>
      <c r="H14" s="201">
        <f t="shared" si="2"/>
        <v>15400</v>
      </c>
      <c r="I14" s="12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</row>
    <row r="15" spans="1:244" ht="19.5" customHeight="1">
      <c r="A15" s="195">
        <v>4</v>
      </c>
      <c r="B15" s="130" t="s">
        <v>64</v>
      </c>
      <c r="C15" s="130" t="s">
        <v>51</v>
      </c>
      <c r="D15" s="151">
        <v>5</v>
      </c>
      <c r="E15" s="200">
        <v>3000</v>
      </c>
      <c r="F15" s="201">
        <f t="shared" si="0"/>
        <v>15000</v>
      </c>
      <c r="G15" s="201">
        <f t="shared" si="1"/>
        <v>1500</v>
      </c>
      <c r="H15" s="201">
        <f t="shared" si="2"/>
        <v>16500</v>
      </c>
      <c r="I15" s="124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</row>
    <row r="16" spans="1:244" ht="19.5" customHeight="1">
      <c r="A16" s="195">
        <v>5</v>
      </c>
      <c r="B16" s="130" t="s">
        <v>218</v>
      </c>
      <c r="C16" s="130" t="s">
        <v>55</v>
      </c>
      <c r="D16" s="130">
        <v>5</v>
      </c>
      <c r="E16" s="200">
        <v>4000</v>
      </c>
      <c r="F16" s="201">
        <f t="shared" si="0"/>
        <v>20000</v>
      </c>
      <c r="G16" s="201">
        <f t="shared" si="1"/>
        <v>2000</v>
      </c>
      <c r="H16" s="201">
        <f t="shared" si="2"/>
        <v>22000</v>
      </c>
      <c r="I16" s="124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</row>
    <row r="17" spans="1:244" ht="19.5" customHeight="1">
      <c r="A17" s="195">
        <v>6</v>
      </c>
      <c r="B17" s="130" t="s">
        <v>67</v>
      </c>
      <c r="C17" s="130" t="s">
        <v>57</v>
      </c>
      <c r="D17" s="130">
        <v>3</v>
      </c>
      <c r="E17" s="200">
        <v>6000</v>
      </c>
      <c r="F17" s="201">
        <f t="shared" si="0"/>
        <v>18000</v>
      </c>
      <c r="G17" s="201">
        <f t="shared" si="1"/>
        <v>1800</v>
      </c>
      <c r="H17" s="201">
        <f t="shared" si="2"/>
        <v>19800</v>
      </c>
      <c r="I17" s="124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</row>
    <row r="18" spans="1:244" ht="19.5" customHeight="1">
      <c r="A18" s="195">
        <v>7</v>
      </c>
      <c r="B18" s="130" t="s">
        <v>175</v>
      </c>
      <c r="C18" s="130" t="s">
        <v>70</v>
      </c>
      <c r="D18" s="130">
        <v>80</v>
      </c>
      <c r="E18" s="200">
        <v>2400</v>
      </c>
      <c r="F18" s="201">
        <f t="shared" si="0"/>
        <v>192000</v>
      </c>
      <c r="G18" s="201">
        <f t="shared" si="1"/>
        <v>19200</v>
      </c>
      <c r="H18" s="201">
        <f t="shared" si="2"/>
        <v>211200</v>
      </c>
      <c r="I18" s="124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</row>
    <row r="19" spans="1:244" ht="19.5" customHeight="1">
      <c r="A19" s="195">
        <v>8</v>
      </c>
      <c r="B19" s="130" t="s">
        <v>178</v>
      </c>
      <c r="C19" s="130" t="s">
        <v>70</v>
      </c>
      <c r="D19" s="130">
        <v>3</v>
      </c>
      <c r="E19" s="200">
        <v>32000</v>
      </c>
      <c r="F19" s="201">
        <f t="shared" si="0"/>
        <v>96000</v>
      </c>
      <c r="G19" s="201">
        <f t="shared" si="1"/>
        <v>9600</v>
      </c>
      <c r="H19" s="201">
        <f t="shared" si="2"/>
        <v>105600</v>
      </c>
      <c r="I19" s="124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</row>
    <row r="20" spans="1:244" ht="19.5" customHeight="1">
      <c r="A20" s="195">
        <v>9</v>
      </c>
      <c r="B20" s="130" t="s">
        <v>179</v>
      </c>
      <c r="C20" s="130" t="s">
        <v>72</v>
      </c>
      <c r="D20" s="130">
        <v>2</v>
      </c>
      <c r="E20" s="200">
        <v>32500</v>
      </c>
      <c r="F20" s="201">
        <f t="shared" si="0"/>
        <v>65000</v>
      </c>
      <c r="G20" s="201">
        <f t="shared" si="1"/>
        <v>6500</v>
      </c>
      <c r="H20" s="201">
        <f t="shared" si="2"/>
        <v>71500</v>
      </c>
      <c r="I20" s="124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</row>
    <row r="21" spans="1:244" ht="19.5" customHeight="1">
      <c r="A21" s="195">
        <v>10</v>
      </c>
      <c r="B21" s="130" t="s">
        <v>180</v>
      </c>
      <c r="C21" s="130" t="s">
        <v>70</v>
      </c>
      <c r="D21" s="130">
        <v>1</v>
      </c>
      <c r="E21" s="200">
        <v>135000</v>
      </c>
      <c r="F21" s="201">
        <f t="shared" si="0"/>
        <v>135000</v>
      </c>
      <c r="G21" s="201">
        <f t="shared" si="1"/>
        <v>13500</v>
      </c>
      <c r="H21" s="201">
        <f t="shared" si="2"/>
        <v>148500</v>
      </c>
      <c r="I21" s="124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</row>
    <row r="22" spans="1:244" ht="19.5" customHeight="1">
      <c r="A22" s="195">
        <v>11</v>
      </c>
      <c r="B22" s="130" t="s">
        <v>181</v>
      </c>
      <c r="C22" s="130" t="s">
        <v>48</v>
      </c>
      <c r="D22" s="130">
        <v>2</v>
      </c>
      <c r="E22" s="200">
        <v>4000</v>
      </c>
      <c r="F22" s="201">
        <f t="shared" si="0"/>
        <v>8000</v>
      </c>
      <c r="G22" s="201">
        <f t="shared" si="1"/>
        <v>800</v>
      </c>
      <c r="H22" s="201">
        <f t="shared" si="2"/>
        <v>8800</v>
      </c>
      <c r="I22" s="124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</row>
    <row r="23" spans="1:244" ht="19.5" customHeight="1">
      <c r="A23" s="195">
        <v>12</v>
      </c>
      <c r="B23" s="130" t="s">
        <v>223</v>
      </c>
      <c r="C23" s="130" t="s">
        <v>81</v>
      </c>
      <c r="D23" s="130">
        <v>2</v>
      </c>
      <c r="E23" s="200">
        <v>38000</v>
      </c>
      <c r="F23" s="201">
        <f t="shared" si="0"/>
        <v>76000</v>
      </c>
      <c r="G23" s="201">
        <f t="shared" si="1"/>
        <v>7600</v>
      </c>
      <c r="H23" s="201">
        <f t="shared" si="2"/>
        <v>83600</v>
      </c>
      <c r="I23" s="124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</row>
    <row r="24" spans="1:244" s="123" customFormat="1" ht="19.5" customHeight="1">
      <c r="A24" s="195">
        <v>13</v>
      </c>
      <c r="B24" s="130" t="s">
        <v>184</v>
      </c>
      <c r="C24" s="130" t="s">
        <v>57</v>
      </c>
      <c r="D24" s="130">
        <v>3</v>
      </c>
      <c r="E24" s="200">
        <v>22000</v>
      </c>
      <c r="F24" s="201">
        <f t="shared" si="0"/>
        <v>66000</v>
      </c>
      <c r="G24" s="201">
        <f t="shared" si="1"/>
        <v>6600</v>
      </c>
      <c r="H24" s="201">
        <f t="shared" si="2"/>
        <v>72600</v>
      </c>
      <c r="I24" s="124"/>
      <c r="J24" s="124"/>
    </row>
    <row r="25" spans="1:244" s="123" customFormat="1" ht="19.5" customHeight="1">
      <c r="A25" s="195">
        <v>14</v>
      </c>
      <c r="B25" s="130" t="s">
        <v>185</v>
      </c>
      <c r="C25" s="130" t="s">
        <v>57</v>
      </c>
      <c r="D25" s="130">
        <v>3</v>
      </c>
      <c r="E25" s="200">
        <v>21000</v>
      </c>
      <c r="F25" s="201">
        <f t="shared" si="0"/>
        <v>63000</v>
      </c>
      <c r="G25" s="201">
        <f t="shared" si="1"/>
        <v>6300</v>
      </c>
      <c r="H25" s="201">
        <f t="shared" si="2"/>
        <v>69300</v>
      </c>
      <c r="I25" s="124"/>
      <c r="J25" s="124"/>
    </row>
    <row r="26" spans="1:244" s="123" customFormat="1" ht="19.5" customHeight="1">
      <c r="A26" s="195">
        <v>15</v>
      </c>
      <c r="B26" s="130" t="s">
        <v>187</v>
      </c>
      <c r="C26" s="130" t="s">
        <v>57</v>
      </c>
      <c r="D26" s="130">
        <v>2</v>
      </c>
      <c r="E26" s="200">
        <v>18500</v>
      </c>
      <c r="F26" s="201">
        <f t="shared" si="0"/>
        <v>37000</v>
      </c>
      <c r="G26" s="201">
        <f t="shared" si="1"/>
        <v>3700</v>
      </c>
      <c r="H26" s="201">
        <f t="shared" si="2"/>
        <v>40700</v>
      </c>
      <c r="I26" s="124"/>
      <c r="J26" s="124"/>
    </row>
    <row r="27" spans="1:244" s="123" customFormat="1" ht="19.5" customHeight="1">
      <c r="A27" s="195">
        <v>16</v>
      </c>
      <c r="B27" s="130" t="s">
        <v>199</v>
      </c>
      <c r="C27" s="130" t="s">
        <v>70</v>
      </c>
      <c r="D27" s="130">
        <v>1</v>
      </c>
      <c r="E27" s="200">
        <v>12000</v>
      </c>
      <c r="F27" s="201">
        <f t="shared" si="0"/>
        <v>12000</v>
      </c>
      <c r="G27" s="201">
        <f t="shared" si="1"/>
        <v>1200</v>
      </c>
      <c r="H27" s="201">
        <f t="shared" si="2"/>
        <v>13200</v>
      </c>
      <c r="I27" s="124"/>
      <c r="J27" s="124"/>
    </row>
    <row r="28" spans="1:244" s="123" customFormat="1" ht="19.5" customHeight="1">
      <c r="A28" s="195">
        <v>17</v>
      </c>
      <c r="B28" s="130" t="s">
        <v>249</v>
      </c>
      <c r="C28" s="130" t="s">
        <v>51</v>
      </c>
      <c r="D28" s="130">
        <v>25</v>
      </c>
      <c r="E28" s="200">
        <v>4700</v>
      </c>
      <c r="F28" s="201">
        <f t="shared" si="0"/>
        <v>117500</v>
      </c>
      <c r="G28" s="201">
        <f t="shared" si="1"/>
        <v>11750</v>
      </c>
      <c r="H28" s="201">
        <f t="shared" si="2"/>
        <v>129250</v>
      </c>
      <c r="I28" s="124"/>
      <c r="J28" s="124"/>
    </row>
    <row r="29" spans="1:244" s="123" customFormat="1" ht="19.5" hidden="1" customHeight="1">
      <c r="A29" s="163">
        <v>18</v>
      </c>
      <c r="B29" s="130"/>
      <c r="C29" s="130"/>
      <c r="D29" s="130"/>
      <c r="E29" s="200">
        <f>IFERROR(VLOOKUP(B29,DATA!$A$2:$C$200,3,0),0)</f>
        <v>0</v>
      </c>
      <c r="F29" s="201">
        <f t="shared" ref="F13:F76" si="3">E29*D29</f>
        <v>0</v>
      </c>
      <c r="G29" s="201">
        <f t="shared" ref="G13:G76" si="4">F29*10%</f>
        <v>0</v>
      </c>
      <c r="H29" s="201">
        <f t="shared" ref="H13:H76" si="5">F29+G29</f>
        <v>0</v>
      </c>
      <c r="I29" s="124"/>
      <c r="J29" s="124"/>
    </row>
    <row r="30" spans="1:244" s="123" customFormat="1" ht="19.5" hidden="1" customHeight="1">
      <c r="A30" s="163">
        <v>19</v>
      </c>
      <c r="B30" s="130"/>
      <c r="C30" s="130"/>
      <c r="D30" s="131"/>
      <c r="E30" s="200">
        <f>IFERROR(VLOOKUP(B30,DATA!$A$2:$C$200,3,0),0)</f>
        <v>0</v>
      </c>
      <c r="F30" s="201">
        <f t="shared" si="3"/>
        <v>0</v>
      </c>
      <c r="G30" s="201">
        <f t="shared" si="4"/>
        <v>0</v>
      </c>
      <c r="H30" s="201">
        <f t="shared" si="5"/>
        <v>0</v>
      </c>
      <c r="I30" s="124"/>
      <c r="J30" s="124"/>
    </row>
    <row r="31" spans="1:244" s="123" customFormat="1" ht="19.5" hidden="1" customHeight="1">
      <c r="A31" s="163">
        <v>20</v>
      </c>
      <c r="B31" s="130"/>
      <c r="C31" s="130"/>
      <c r="D31" s="151"/>
      <c r="E31" s="200">
        <f>IFERROR(VLOOKUP(B31,DATA!$A$2:$C$200,3,0),0)</f>
        <v>0</v>
      </c>
      <c r="F31" s="201">
        <f t="shared" si="3"/>
        <v>0</v>
      </c>
      <c r="G31" s="201">
        <f t="shared" si="4"/>
        <v>0</v>
      </c>
      <c r="H31" s="201">
        <f t="shared" si="5"/>
        <v>0</v>
      </c>
      <c r="I31" s="124"/>
      <c r="J31" s="124"/>
    </row>
    <row r="32" spans="1:244" s="123" customFormat="1" ht="19.5" hidden="1" customHeight="1">
      <c r="A32" s="163">
        <v>21</v>
      </c>
      <c r="B32" s="130"/>
      <c r="C32" s="130"/>
      <c r="D32" s="130"/>
      <c r="E32" s="200">
        <f>IFERROR(VLOOKUP(B32,DATA!$A$2:$C$200,3,0),0)</f>
        <v>0</v>
      </c>
      <c r="F32" s="201">
        <f t="shared" si="3"/>
        <v>0</v>
      </c>
      <c r="G32" s="201">
        <f t="shared" si="4"/>
        <v>0</v>
      </c>
      <c r="H32" s="201">
        <f t="shared" si="5"/>
        <v>0</v>
      </c>
      <c r="I32" s="124"/>
      <c r="J32" s="124"/>
    </row>
    <row r="33" spans="1:10" s="123" customFormat="1" ht="19.5" hidden="1" customHeight="1">
      <c r="A33" s="163">
        <v>22</v>
      </c>
      <c r="B33" s="130"/>
      <c r="C33" s="130"/>
      <c r="D33" s="130"/>
      <c r="E33" s="200">
        <f>IFERROR(VLOOKUP(B33,DATA!$A$2:$C$200,3,0),0)</f>
        <v>0</v>
      </c>
      <c r="F33" s="201">
        <f t="shared" si="3"/>
        <v>0</v>
      </c>
      <c r="G33" s="201">
        <f t="shared" si="4"/>
        <v>0</v>
      </c>
      <c r="H33" s="201">
        <f t="shared" si="5"/>
        <v>0</v>
      </c>
      <c r="I33" s="124"/>
      <c r="J33" s="124"/>
    </row>
    <row r="34" spans="1:10" s="123" customFormat="1" ht="19.5" hidden="1" customHeight="1">
      <c r="A34" s="163">
        <v>23</v>
      </c>
      <c r="B34" s="130"/>
      <c r="C34" s="130"/>
      <c r="D34" s="130"/>
      <c r="E34" s="200">
        <f>IFERROR(VLOOKUP(B34,DATA!$A$2:$C$200,3,0),0)</f>
        <v>0</v>
      </c>
      <c r="F34" s="201">
        <f t="shared" si="3"/>
        <v>0</v>
      </c>
      <c r="G34" s="201">
        <f t="shared" si="4"/>
        <v>0</v>
      </c>
      <c r="H34" s="201">
        <f t="shared" si="5"/>
        <v>0</v>
      </c>
      <c r="I34" s="124"/>
      <c r="J34" s="124"/>
    </row>
    <row r="35" spans="1:10" s="123" customFormat="1" ht="19.5" hidden="1" customHeight="1">
      <c r="A35" s="163">
        <v>24</v>
      </c>
      <c r="B35" s="130"/>
      <c r="C35" s="130"/>
      <c r="D35" s="130"/>
      <c r="E35" s="200">
        <f>IFERROR(VLOOKUP(B35,DATA!$A$2:$C$200,3,0),0)</f>
        <v>0</v>
      </c>
      <c r="F35" s="201">
        <f t="shared" si="3"/>
        <v>0</v>
      </c>
      <c r="G35" s="201">
        <f t="shared" si="4"/>
        <v>0</v>
      </c>
      <c r="H35" s="201">
        <f t="shared" si="5"/>
        <v>0</v>
      </c>
      <c r="I35" s="124"/>
      <c r="J35" s="124"/>
    </row>
    <row r="36" spans="1:10" s="123" customFormat="1" ht="19.5" hidden="1" customHeight="1">
      <c r="A36" s="163">
        <v>25</v>
      </c>
      <c r="B36" s="130"/>
      <c r="C36" s="130"/>
      <c r="D36" s="130"/>
      <c r="E36" s="200">
        <f>IFERROR(VLOOKUP(B36,DATA!$A$2:$C$200,3,0),0)</f>
        <v>0</v>
      </c>
      <c r="F36" s="201">
        <f t="shared" si="3"/>
        <v>0</v>
      </c>
      <c r="G36" s="201">
        <f t="shared" si="4"/>
        <v>0</v>
      </c>
      <c r="H36" s="201">
        <f t="shared" si="5"/>
        <v>0</v>
      </c>
      <c r="I36" s="124"/>
      <c r="J36" s="124"/>
    </row>
    <row r="37" spans="1:10" s="123" customFormat="1" ht="19.5" hidden="1" customHeight="1">
      <c r="A37" s="163">
        <v>26</v>
      </c>
      <c r="B37" s="130"/>
      <c r="C37" s="130"/>
      <c r="D37" s="130"/>
      <c r="E37" s="200">
        <f>IFERROR(VLOOKUP(B37,DATA!$A$2:$C$200,3,0),0)</f>
        <v>0</v>
      </c>
      <c r="F37" s="201">
        <f t="shared" si="3"/>
        <v>0</v>
      </c>
      <c r="G37" s="201">
        <f t="shared" si="4"/>
        <v>0</v>
      </c>
      <c r="H37" s="201">
        <f t="shared" si="5"/>
        <v>0</v>
      </c>
      <c r="I37" s="124"/>
      <c r="J37" s="124"/>
    </row>
    <row r="38" spans="1:10" s="123" customFormat="1" ht="19.5" hidden="1" customHeight="1">
      <c r="A38" s="163">
        <v>27</v>
      </c>
      <c r="B38" s="130"/>
      <c r="C38" s="130"/>
      <c r="D38" s="130"/>
      <c r="E38" s="200">
        <f>IFERROR(VLOOKUP(B38,DATA!$A$2:$C$200,3,0),0)</f>
        <v>0</v>
      </c>
      <c r="F38" s="201">
        <f t="shared" si="3"/>
        <v>0</v>
      </c>
      <c r="G38" s="201">
        <f t="shared" si="4"/>
        <v>0</v>
      </c>
      <c r="H38" s="201">
        <f t="shared" si="5"/>
        <v>0</v>
      </c>
      <c r="I38" s="124"/>
      <c r="J38" s="124"/>
    </row>
    <row r="39" spans="1:10" s="123" customFormat="1" ht="19.5" hidden="1" customHeight="1">
      <c r="A39" s="163">
        <v>28</v>
      </c>
      <c r="B39" s="130"/>
      <c r="C39" s="130"/>
      <c r="D39" s="130"/>
      <c r="E39" s="200">
        <f>IFERROR(VLOOKUP(B39,DATA!$A$2:$C$200,3,0),0)</f>
        <v>0</v>
      </c>
      <c r="F39" s="201">
        <f t="shared" si="3"/>
        <v>0</v>
      </c>
      <c r="G39" s="201">
        <f t="shared" si="4"/>
        <v>0</v>
      </c>
      <c r="H39" s="201">
        <f t="shared" si="5"/>
        <v>0</v>
      </c>
      <c r="I39" s="124"/>
      <c r="J39" s="124"/>
    </row>
    <row r="40" spans="1:10" s="123" customFormat="1" ht="19.5" hidden="1" customHeight="1">
      <c r="A40" s="163">
        <v>29</v>
      </c>
      <c r="B40" s="130"/>
      <c r="C40" s="130"/>
      <c r="D40" s="130"/>
      <c r="E40" s="200">
        <f>IFERROR(VLOOKUP(B40,DATA!$A$2:$C$200,3,0),0)</f>
        <v>0</v>
      </c>
      <c r="F40" s="201">
        <f t="shared" si="3"/>
        <v>0</v>
      </c>
      <c r="G40" s="201">
        <f t="shared" si="4"/>
        <v>0</v>
      </c>
      <c r="H40" s="201">
        <f t="shared" si="5"/>
        <v>0</v>
      </c>
      <c r="I40" s="124"/>
      <c r="J40" s="124"/>
    </row>
    <row r="41" spans="1:10" s="123" customFormat="1" ht="19.5" hidden="1" customHeight="1">
      <c r="A41" s="163">
        <v>30</v>
      </c>
      <c r="B41" s="130"/>
      <c r="C41" s="130"/>
      <c r="D41" s="130"/>
      <c r="E41" s="200">
        <f>IFERROR(VLOOKUP(B41,DATA!$A$2:$C$200,3,0),0)</f>
        <v>0</v>
      </c>
      <c r="F41" s="201">
        <f t="shared" si="3"/>
        <v>0</v>
      </c>
      <c r="G41" s="201">
        <f t="shared" si="4"/>
        <v>0</v>
      </c>
      <c r="H41" s="201">
        <f t="shared" si="5"/>
        <v>0</v>
      </c>
      <c r="I41" s="124"/>
      <c r="J41" s="124"/>
    </row>
    <row r="42" spans="1:10" s="123" customFormat="1" ht="19.5" hidden="1" customHeight="1">
      <c r="A42" s="163">
        <v>31</v>
      </c>
      <c r="B42" s="130"/>
      <c r="C42" s="130"/>
      <c r="D42" s="131"/>
      <c r="E42" s="200">
        <f>IFERROR(VLOOKUP(B42,DATA!$A$2:$C$200,3,0),0)</f>
        <v>0</v>
      </c>
      <c r="F42" s="201">
        <f t="shared" si="3"/>
        <v>0</v>
      </c>
      <c r="G42" s="201">
        <f t="shared" si="4"/>
        <v>0</v>
      </c>
      <c r="H42" s="201">
        <f t="shared" si="5"/>
        <v>0</v>
      </c>
      <c r="I42" s="124"/>
      <c r="J42" s="124"/>
    </row>
    <row r="43" spans="1:10" s="123" customFormat="1" ht="19.5" hidden="1" customHeight="1">
      <c r="A43" s="163">
        <v>32</v>
      </c>
      <c r="B43" s="130"/>
      <c r="C43" s="130"/>
      <c r="D43" s="131"/>
      <c r="E43" s="200">
        <f>IFERROR(VLOOKUP(B43,DATA!$A$2:$C$200,3,0),0)</f>
        <v>0</v>
      </c>
      <c r="F43" s="201">
        <f t="shared" si="3"/>
        <v>0</v>
      </c>
      <c r="G43" s="201">
        <f t="shared" si="4"/>
        <v>0</v>
      </c>
      <c r="H43" s="201">
        <f t="shared" si="5"/>
        <v>0</v>
      </c>
      <c r="I43" s="124"/>
      <c r="J43" s="124"/>
    </row>
    <row r="44" spans="1:10" s="123" customFormat="1" ht="19.5" hidden="1" customHeight="1">
      <c r="A44" s="163">
        <v>33</v>
      </c>
      <c r="B44" s="130"/>
      <c r="C44" s="130"/>
      <c r="D44" s="151"/>
      <c r="E44" s="200">
        <f>IFERROR(VLOOKUP(B44,DATA!$A$2:$C$200,3,0),0)</f>
        <v>0</v>
      </c>
      <c r="F44" s="201">
        <f t="shared" si="3"/>
        <v>0</v>
      </c>
      <c r="G44" s="201">
        <f t="shared" si="4"/>
        <v>0</v>
      </c>
      <c r="H44" s="201">
        <f t="shared" si="5"/>
        <v>0</v>
      </c>
      <c r="I44" s="124"/>
      <c r="J44" s="124"/>
    </row>
    <row r="45" spans="1:10" s="123" customFormat="1" ht="19.5" hidden="1" customHeight="1">
      <c r="A45" s="163">
        <v>34</v>
      </c>
      <c r="B45" s="130"/>
      <c r="C45" s="130"/>
      <c r="D45" s="130"/>
      <c r="E45" s="200">
        <f>IFERROR(VLOOKUP(B45,DATA!$A$2:$C$200,3,0),0)</f>
        <v>0</v>
      </c>
      <c r="F45" s="201">
        <f t="shared" si="3"/>
        <v>0</v>
      </c>
      <c r="G45" s="201">
        <f t="shared" si="4"/>
        <v>0</v>
      </c>
      <c r="H45" s="201">
        <f t="shared" si="5"/>
        <v>0</v>
      </c>
      <c r="I45" s="124"/>
      <c r="J45" s="124"/>
    </row>
    <row r="46" spans="1:10" s="123" customFormat="1" ht="19.5" hidden="1" customHeight="1">
      <c r="A46" s="163">
        <v>35</v>
      </c>
      <c r="B46" s="130"/>
      <c r="C46" s="130"/>
      <c r="D46" s="130"/>
      <c r="E46" s="200">
        <f>IFERROR(VLOOKUP(B46,DATA!$A$2:$C$200,3,0),0)</f>
        <v>0</v>
      </c>
      <c r="F46" s="201">
        <f t="shared" si="3"/>
        <v>0</v>
      </c>
      <c r="G46" s="201">
        <f t="shared" si="4"/>
        <v>0</v>
      </c>
      <c r="H46" s="201">
        <f t="shared" si="5"/>
        <v>0</v>
      </c>
      <c r="I46" s="124"/>
      <c r="J46" s="124"/>
    </row>
    <row r="47" spans="1:10" s="123" customFormat="1" ht="19.5" hidden="1" customHeight="1">
      <c r="A47" s="163">
        <v>36</v>
      </c>
      <c r="B47" s="130"/>
      <c r="C47" s="130"/>
      <c r="D47" s="130"/>
      <c r="E47" s="200">
        <f>IFERROR(VLOOKUP(B47,DATA!$A$2:$C$200,3,0),0)</f>
        <v>0</v>
      </c>
      <c r="F47" s="201">
        <f t="shared" si="3"/>
        <v>0</v>
      </c>
      <c r="G47" s="201">
        <f t="shared" si="4"/>
        <v>0</v>
      </c>
      <c r="H47" s="201">
        <f t="shared" si="5"/>
        <v>0</v>
      </c>
      <c r="I47" s="124"/>
      <c r="J47" s="124"/>
    </row>
    <row r="48" spans="1:10" s="123" customFormat="1" ht="19.5" hidden="1" customHeight="1">
      <c r="A48" s="163">
        <v>37</v>
      </c>
      <c r="B48" s="130"/>
      <c r="C48" s="130"/>
      <c r="D48" s="130"/>
      <c r="E48" s="200">
        <f>IFERROR(VLOOKUP(B48,DATA!$A$2:$C$200,3,0),0)</f>
        <v>0</v>
      </c>
      <c r="F48" s="201">
        <f t="shared" si="3"/>
        <v>0</v>
      </c>
      <c r="G48" s="201">
        <f t="shared" si="4"/>
        <v>0</v>
      </c>
      <c r="H48" s="201">
        <f t="shared" si="5"/>
        <v>0</v>
      </c>
      <c r="I48" s="124"/>
      <c r="J48" s="124"/>
    </row>
    <row r="49" spans="1:244" s="123" customFormat="1" ht="19.5" hidden="1" customHeight="1">
      <c r="A49" s="163">
        <v>38</v>
      </c>
      <c r="B49" s="130"/>
      <c r="C49" s="130"/>
      <c r="D49" s="130"/>
      <c r="E49" s="200">
        <f>IFERROR(VLOOKUP(B49,DATA!$A$2:$C$200,3,0),0)</f>
        <v>0</v>
      </c>
      <c r="F49" s="201">
        <f t="shared" si="3"/>
        <v>0</v>
      </c>
      <c r="G49" s="201">
        <f t="shared" si="4"/>
        <v>0</v>
      </c>
      <c r="H49" s="201">
        <f t="shared" si="5"/>
        <v>0</v>
      </c>
      <c r="I49" s="124"/>
      <c r="J49" s="124"/>
    </row>
    <row r="50" spans="1:244" s="123" customFormat="1" ht="19.5" hidden="1" customHeight="1">
      <c r="A50" s="163">
        <v>39</v>
      </c>
      <c r="B50" s="130"/>
      <c r="C50" s="130"/>
      <c r="D50" s="130"/>
      <c r="E50" s="200">
        <f>IFERROR(VLOOKUP(B50,DATA!$A$2:$C$200,3,0),0)</f>
        <v>0</v>
      </c>
      <c r="F50" s="201">
        <f t="shared" si="3"/>
        <v>0</v>
      </c>
      <c r="G50" s="201">
        <f t="shared" si="4"/>
        <v>0</v>
      </c>
      <c r="H50" s="201">
        <f t="shared" si="5"/>
        <v>0</v>
      </c>
      <c r="I50" s="124"/>
      <c r="J50" s="124"/>
    </row>
    <row r="51" spans="1:244" s="123" customFormat="1" ht="19.5" hidden="1" customHeight="1">
      <c r="A51" s="163">
        <v>40</v>
      </c>
      <c r="B51" s="130"/>
      <c r="C51" s="130"/>
      <c r="D51" s="130"/>
      <c r="E51" s="200">
        <f>IFERROR(VLOOKUP(B51,DATA!$A$2:$C$200,3,0),0)</f>
        <v>0</v>
      </c>
      <c r="F51" s="201">
        <f t="shared" si="3"/>
        <v>0</v>
      </c>
      <c r="G51" s="201">
        <f t="shared" si="4"/>
        <v>0</v>
      </c>
      <c r="H51" s="201">
        <f t="shared" si="5"/>
        <v>0</v>
      </c>
      <c r="I51" s="124"/>
      <c r="J51" s="124"/>
    </row>
    <row r="52" spans="1:244" s="123" customFormat="1" ht="19.5" hidden="1" customHeight="1">
      <c r="A52" s="163">
        <v>41</v>
      </c>
      <c r="B52" s="130"/>
      <c r="C52" s="130"/>
      <c r="D52" s="130"/>
      <c r="E52" s="200">
        <f>IFERROR(VLOOKUP(B52,DATA!$A$2:$C$200,3,0),0)</f>
        <v>0</v>
      </c>
      <c r="F52" s="201">
        <f t="shared" si="3"/>
        <v>0</v>
      </c>
      <c r="G52" s="201">
        <f t="shared" si="4"/>
        <v>0</v>
      </c>
      <c r="H52" s="201">
        <f t="shared" si="5"/>
        <v>0</v>
      </c>
      <c r="I52" s="124"/>
      <c r="J52" s="124"/>
    </row>
    <row r="53" spans="1:244" s="123" customFormat="1" ht="19.5" hidden="1" customHeight="1">
      <c r="A53" s="163">
        <v>42</v>
      </c>
      <c r="B53" s="130"/>
      <c r="C53" s="130"/>
      <c r="D53" s="130"/>
      <c r="E53" s="200">
        <f>IFERROR(VLOOKUP(B53,DATA!$A$2:$C$200,3,0),0)</f>
        <v>0</v>
      </c>
      <c r="F53" s="201">
        <f t="shared" si="3"/>
        <v>0</v>
      </c>
      <c r="G53" s="201">
        <f t="shared" si="4"/>
        <v>0</v>
      </c>
      <c r="H53" s="201">
        <f t="shared" si="5"/>
        <v>0</v>
      </c>
      <c r="I53" s="124"/>
      <c r="J53" s="124"/>
    </row>
    <row r="54" spans="1:244" s="123" customFormat="1" ht="19.5" hidden="1" customHeight="1">
      <c r="A54" s="163">
        <v>43</v>
      </c>
      <c r="B54" s="130"/>
      <c r="C54" s="130"/>
      <c r="D54" s="130"/>
      <c r="E54" s="200">
        <f>IFERROR(VLOOKUP(B54,DATA!$A$2:$C$200,3,0),0)</f>
        <v>0</v>
      </c>
      <c r="F54" s="201">
        <f t="shared" si="3"/>
        <v>0</v>
      </c>
      <c r="G54" s="201">
        <f t="shared" si="4"/>
        <v>0</v>
      </c>
      <c r="H54" s="201">
        <f t="shared" si="5"/>
        <v>0</v>
      </c>
      <c r="I54" s="124"/>
      <c r="J54" s="124"/>
    </row>
    <row r="55" spans="1:244" s="123" customFormat="1" ht="19.5" hidden="1" customHeight="1">
      <c r="A55" s="163">
        <v>44</v>
      </c>
      <c r="B55" s="130"/>
      <c r="C55" s="130"/>
      <c r="D55" s="130"/>
      <c r="E55" s="200">
        <f>IFERROR(VLOOKUP(B55,DATA!$A$2:$C$200,3,0),0)</f>
        <v>0</v>
      </c>
      <c r="F55" s="201">
        <f t="shared" si="3"/>
        <v>0</v>
      </c>
      <c r="G55" s="201">
        <f t="shared" si="4"/>
        <v>0</v>
      </c>
      <c r="H55" s="201">
        <f t="shared" si="5"/>
        <v>0</v>
      </c>
      <c r="I55" s="124"/>
      <c r="J55" s="124"/>
    </row>
    <row r="56" spans="1:244" ht="19.5" hidden="1" customHeight="1">
      <c r="A56" s="163">
        <v>45</v>
      </c>
      <c r="B56" s="130"/>
      <c r="C56" s="130"/>
      <c r="D56" s="130"/>
      <c r="E56" s="200">
        <f>IFERROR(VLOOKUP(B56,DATA!$A$2:$C$200,3,0),0)</f>
        <v>0</v>
      </c>
      <c r="F56" s="201">
        <f t="shared" si="3"/>
        <v>0</v>
      </c>
      <c r="G56" s="201">
        <f t="shared" si="4"/>
        <v>0</v>
      </c>
      <c r="H56" s="201">
        <f t="shared" si="5"/>
        <v>0</v>
      </c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I56"/>
      <c r="IJ56"/>
    </row>
    <row r="57" spans="1:244" ht="19.5" hidden="1" customHeight="1">
      <c r="A57" s="163">
        <v>46</v>
      </c>
      <c r="B57" s="130"/>
      <c r="C57" s="130"/>
      <c r="D57" s="130"/>
      <c r="E57" s="200">
        <f>IFERROR(VLOOKUP(B57,DATA!$A$2:$C$200,3,0),0)</f>
        <v>0</v>
      </c>
      <c r="F57" s="201">
        <f t="shared" si="3"/>
        <v>0</v>
      </c>
      <c r="G57" s="201">
        <f t="shared" si="4"/>
        <v>0</v>
      </c>
      <c r="H57" s="201">
        <f t="shared" si="5"/>
        <v>0</v>
      </c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G57"/>
      <c r="IH57"/>
      <c r="II57"/>
      <c r="IJ57"/>
    </row>
    <row r="58" spans="1:244" ht="19.5" hidden="1" customHeight="1">
      <c r="A58" s="163">
        <v>47</v>
      </c>
      <c r="B58" s="130"/>
      <c r="C58" s="130"/>
      <c r="D58" s="130"/>
      <c r="E58" s="200">
        <f>IFERROR(VLOOKUP(B58,DATA!$A$2:$C$200,3,0),0)</f>
        <v>0</v>
      </c>
      <c r="F58" s="201">
        <f t="shared" si="3"/>
        <v>0</v>
      </c>
      <c r="G58" s="201">
        <f t="shared" si="4"/>
        <v>0</v>
      </c>
      <c r="H58" s="201">
        <f t="shared" si="5"/>
        <v>0</v>
      </c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G58"/>
      <c r="IH58"/>
      <c r="II58"/>
      <c r="IJ58"/>
    </row>
    <row r="59" spans="1:244" ht="19.5" hidden="1" customHeight="1">
      <c r="A59" s="163">
        <v>48</v>
      </c>
      <c r="B59" s="130"/>
      <c r="C59" s="130"/>
      <c r="D59" s="130"/>
      <c r="E59" s="200">
        <f>IFERROR(VLOOKUP(B59,DATA!$A$2:$C$200,3,0),0)</f>
        <v>0</v>
      </c>
      <c r="F59" s="201">
        <f t="shared" si="3"/>
        <v>0</v>
      </c>
      <c r="G59" s="201">
        <f t="shared" si="4"/>
        <v>0</v>
      </c>
      <c r="H59" s="201">
        <f t="shared" si="5"/>
        <v>0</v>
      </c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G59"/>
      <c r="IH59"/>
      <c r="II59"/>
      <c r="IJ59"/>
    </row>
    <row r="60" spans="1:244" ht="19.5" hidden="1" customHeight="1">
      <c r="A60" s="163">
        <v>49</v>
      </c>
      <c r="B60" s="130"/>
      <c r="C60" s="130"/>
      <c r="D60" s="130"/>
      <c r="E60" s="200">
        <f>IFERROR(VLOOKUP(B60,DATA!$A$2:$C$200,3,0),0)</f>
        <v>0</v>
      </c>
      <c r="F60" s="201">
        <f t="shared" si="3"/>
        <v>0</v>
      </c>
      <c r="G60" s="201">
        <f t="shared" si="4"/>
        <v>0</v>
      </c>
      <c r="H60" s="201">
        <f t="shared" si="5"/>
        <v>0</v>
      </c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  <c r="HB60"/>
      <c r="HC60"/>
      <c r="HD60"/>
      <c r="HE60"/>
      <c r="HF60"/>
      <c r="HG60"/>
      <c r="HH60"/>
      <c r="HI60"/>
      <c r="HJ60"/>
      <c r="HK60"/>
      <c r="HL60"/>
      <c r="HM60"/>
      <c r="HN60"/>
      <c r="HO60"/>
      <c r="HP60"/>
      <c r="HQ60"/>
      <c r="HR60"/>
      <c r="HS60"/>
      <c r="HT60"/>
      <c r="HU60"/>
      <c r="HV60"/>
      <c r="HW60"/>
      <c r="HX60"/>
      <c r="HY60"/>
      <c r="HZ60"/>
      <c r="IA60"/>
      <c r="IB60"/>
      <c r="IC60"/>
      <c r="ID60"/>
      <c r="IE60"/>
      <c r="IF60"/>
      <c r="IG60"/>
      <c r="IH60"/>
      <c r="II60"/>
      <c r="IJ60"/>
    </row>
    <row r="61" spans="1:244" ht="19.5" hidden="1" customHeight="1">
      <c r="A61" s="163">
        <v>50</v>
      </c>
      <c r="B61" s="130"/>
      <c r="C61" s="130"/>
      <c r="D61" s="130"/>
      <c r="E61" s="200">
        <f>IFERROR(VLOOKUP(B61,DATA!$A$2:$C$200,3,0),0)</f>
        <v>0</v>
      </c>
      <c r="F61" s="201">
        <f t="shared" si="3"/>
        <v>0</v>
      </c>
      <c r="G61" s="201">
        <f t="shared" si="4"/>
        <v>0</v>
      </c>
      <c r="H61" s="201">
        <f t="shared" si="5"/>
        <v>0</v>
      </c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  <c r="HX61"/>
      <c r="HY61"/>
      <c r="HZ61"/>
      <c r="IA61"/>
      <c r="IB61"/>
      <c r="IC61"/>
      <c r="ID61"/>
      <c r="IE61"/>
      <c r="IF61"/>
      <c r="IG61"/>
      <c r="IH61"/>
      <c r="II61"/>
      <c r="IJ61"/>
    </row>
    <row r="62" spans="1:244" ht="19.5" hidden="1" customHeight="1">
      <c r="A62" s="163">
        <v>51</v>
      </c>
      <c r="B62" s="130"/>
      <c r="C62" s="130"/>
      <c r="D62" s="130"/>
      <c r="E62" s="200">
        <f>IFERROR(VLOOKUP(B62,DATA!$A$2:$C$200,3,0),0)</f>
        <v>0</v>
      </c>
      <c r="F62" s="201">
        <f t="shared" si="3"/>
        <v>0</v>
      </c>
      <c r="G62" s="201">
        <f t="shared" si="4"/>
        <v>0</v>
      </c>
      <c r="H62" s="201">
        <f t="shared" si="5"/>
        <v>0</v>
      </c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  <c r="HB62"/>
      <c r="HC62"/>
      <c r="HD62"/>
      <c r="HE62"/>
      <c r="HF62"/>
      <c r="HG62"/>
      <c r="HH62"/>
      <c r="HI62"/>
      <c r="HJ62"/>
      <c r="HK62"/>
      <c r="HL62"/>
      <c r="HM62"/>
      <c r="HN62"/>
      <c r="HO62"/>
      <c r="HP62"/>
      <c r="HQ62"/>
      <c r="HR62"/>
      <c r="HS62"/>
      <c r="HT62"/>
      <c r="HU62"/>
      <c r="HV62"/>
      <c r="HW62"/>
      <c r="HX62"/>
      <c r="HY62"/>
      <c r="HZ62"/>
      <c r="IA62"/>
      <c r="IB62"/>
      <c r="IC62"/>
      <c r="ID62"/>
      <c r="IE62"/>
      <c r="IF62"/>
      <c r="IG62"/>
      <c r="IH62"/>
      <c r="II62"/>
      <c r="IJ62"/>
    </row>
    <row r="63" spans="1:244" ht="19.5" hidden="1" customHeight="1">
      <c r="A63" s="163">
        <v>52</v>
      </c>
      <c r="B63" s="131"/>
      <c r="C63" s="131"/>
      <c r="D63" s="131"/>
      <c r="E63" s="200">
        <f>IFERROR(VLOOKUP(B63,DATA!$A$2:$C$200,3,0),0)</f>
        <v>0</v>
      </c>
      <c r="F63" s="201">
        <f t="shared" si="3"/>
        <v>0</v>
      </c>
      <c r="G63" s="201">
        <f t="shared" si="4"/>
        <v>0</v>
      </c>
      <c r="H63" s="201">
        <f t="shared" si="5"/>
        <v>0</v>
      </c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/>
      <c r="HU63"/>
      <c r="HV63"/>
      <c r="HW63"/>
      <c r="HX63"/>
      <c r="HY63"/>
      <c r="HZ63"/>
      <c r="IA63"/>
      <c r="IB63"/>
      <c r="IC63"/>
      <c r="ID63"/>
      <c r="IE63"/>
      <c r="IF63"/>
      <c r="IG63"/>
      <c r="IH63"/>
      <c r="II63"/>
      <c r="IJ63"/>
    </row>
    <row r="64" spans="1:244" s="123" customFormat="1" ht="19.5" hidden="1" customHeight="1">
      <c r="A64" s="163">
        <v>53</v>
      </c>
      <c r="B64" s="151"/>
      <c r="C64" s="151"/>
      <c r="D64" s="151"/>
      <c r="E64" s="200">
        <f>IFERROR(VLOOKUP(B64,DATA!$A$2:$C$200,3,0),0)</f>
        <v>0</v>
      </c>
      <c r="F64" s="201">
        <f t="shared" si="3"/>
        <v>0</v>
      </c>
      <c r="G64" s="201">
        <f t="shared" si="4"/>
        <v>0</v>
      </c>
      <c r="H64" s="201">
        <f t="shared" si="5"/>
        <v>0</v>
      </c>
      <c r="I64" s="124"/>
      <c r="J64" s="124"/>
    </row>
    <row r="65" spans="1:10" s="123" customFormat="1" ht="19.5" hidden="1" customHeight="1">
      <c r="A65" s="163">
        <v>54</v>
      </c>
      <c r="B65" s="151"/>
      <c r="C65" s="151"/>
      <c r="D65" s="151"/>
      <c r="E65" s="200">
        <f>IFERROR(VLOOKUP(B65,DATA!$A$2:$C$200,3,0),0)</f>
        <v>0</v>
      </c>
      <c r="F65" s="201">
        <f t="shared" si="3"/>
        <v>0</v>
      </c>
      <c r="G65" s="201">
        <f t="shared" si="4"/>
        <v>0</v>
      </c>
      <c r="H65" s="201">
        <f t="shared" si="5"/>
        <v>0</v>
      </c>
      <c r="I65" s="124"/>
      <c r="J65" s="124"/>
    </row>
    <row r="66" spans="1:10" s="123" customFormat="1" ht="19.5" hidden="1" customHeight="1">
      <c r="A66" s="163">
        <v>55</v>
      </c>
      <c r="B66" s="151"/>
      <c r="C66" s="151"/>
      <c r="D66" s="151"/>
      <c r="E66" s="200">
        <f>IFERROR(VLOOKUP(B66,DATA!$A$2:$C$200,3,0),0)</f>
        <v>0</v>
      </c>
      <c r="F66" s="201">
        <f t="shared" si="3"/>
        <v>0</v>
      </c>
      <c r="G66" s="201">
        <f t="shared" si="4"/>
        <v>0</v>
      </c>
      <c r="H66" s="201">
        <f t="shared" si="5"/>
        <v>0</v>
      </c>
      <c r="I66" s="124"/>
      <c r="J66" s="124"/>
    </row>
    <row r="67" spans="1:10" s="123" customFormat="1" ht="19.5" hidden="1" customHeight="1">
      <c r="A67" s="163">
        <v>56</v>
      </c>
      <c r="B67" s="151"/>
      <c r="C67" s="151"/>
      <c r="D67" s="151"/>
      <c r="E67" s="200">
        <f>IFERROR(VLOOKUP(B67,DATA!$A$2:$C$200,3,0),0)</f>
        <v>0</v>
      </c>
      <c r="F67" s="201">
        <f t="shared" si="3"/>
        <v>0</v>
      </c>
      <c r="G67" s="201">
        <f t="shared" si="4"/>
        <v>0</v>
      </c>
      <c r="H67" s="201">
        <f t="shared" si="5"/>
        <v>0</v>
      </c>
      <c r="I67" s="124"/>
      <c r="J67" s="124"/>
    </row>
    <row r="68" spans="1:10" s="123" customFormat="1" ht="19.5" hidden="1" customHeight="1">
      <c r="A68" s="163">
        <v>57</v>
      </c>
      <c r="B68" s="151"/>
      <c r="C68" s="151"/>
      <c r="D68" s="151"/>
      <c r="E68" s="200">
        <f>IFERROR(VLOOKUP(B68,DATA!$A$2:$C$200,3,0),0)</f>
        <v>0</v>
      </c>
      <c r="F68" s="201">
        <f t="shared" si="3"/>
        <v>0</v>
      </c>
      <c r="G68" s="201">
        <f t="shared" si="4"/>
        <v>0</v>
      </c>
      <c r="H68" s="201">
        <f t="shared" si="5"/>
        <v>0</v>
      </c>
      <c r="I68" s="124"/>
      <c r="J68" s="124"/>
    </row>
    <row r="69" spans="1:10" s="123" customFormat="1" ht="19.5" hidden="1" customHeight="1">
      <c r="A69" s="163">
        <v>58</v>
      </c>
      <c r="B69" s="151"/>
      <c r="C69" s="151"/>
      <c r="D69" s="151"/>
      <c r="E69" s="200">
        <f>IFERROR(VLOOKUP(B69,DATA!$A$2:$C$200,3,0),0)</f>
        <v>0</v>
      </c>
      <c r="F69" s="201">
        <f t="shared" si="3"/>
        <v>0</v>
      </c>
      <c r="G69" s="201">
        <f t="shared" si="4"/>
        <v>0</v>
      </c>
      <c r="H69" s="201">
        <f t="shared" si="5"/>
        <v>0</v>
      </c>
      <c r="I69" s="124"/>
      <c r="J69" s="124"/>
    </row>
    <row r="70" spans="1:10" s="123" customFormat="1" ht="19.5" hidden="1" customHeight="1">
      <c r="A70" s="163">
        <v>59</v>
      </c>
      <c r="B70" s="151"/>
      <c r="C70" s="151"/>
      <c r="D70" s="151"/>
      <c r="E70" s="200">
        <f>IFERROR(VLOOKUP(B70,DATA!$A$2:$C$200,3,0),0)</f>
        <v>0</v>
      </c>
      <c r="F70" s="201">
        <f t="shared" si="3"/>
        <v>0</v>
      </c>
      <c r="G70" s="201">
        <f t="shared" si="4"/>
        <v>0</v>
      </c>
      <c r="H70" s="201">
        <f t="shared" si="5"/>
        <v>0</v>
      </c>
      <c r="I70" s="124"/>
      <c r="J70" s="124"/>
    </row>
    <row r="71" spans="1:10" s="123" customFormat="1" ht="19.5" hidden="1" customHeight="1">
      <c r="A71" s="163">
        <v>60</v>
      </c>
      <c r="B71" s="151"/>
      <c r="C71" s="151"/>
      <c r="D71" s="151"/>
      <c r="E71" s="200">
        <f>IFERROR(VLOOKUP(B71,DATA!$A$2:$C$200,3,0),0)</f>
        <v>0</v>
      </c>
      <c r="F71" s="201">
        <f t="shared" si="3"/>
        <v>0</v>
      </c>
      <c r="G71" s="201">
        <f t="shared" si="4"/>
        <v>0</v>
      </c>
      <c r="H71" s="201">
        <f t="shared" si="5"/>
        <v>0</v>
      </c>
      <c r="I71" s="124"/>
      <c r="J71" s="124"/>
    </row>
    <row r="72" spans="1:10" s="123" customFormat="1" ht="19.5" hidden="1" customHeight="1">
      <c r="A72" s="163">
        <v>61</v>
      </c>
      <c r="B72" s="151"/>
      <c r="C72" s="151"/>
      <c r="D72" s="151"/>
      <c r="E72" s="200">
        <f>IFERROR(VLOOKUP(B72,DATA!$A$2:$C$200,3,0),0)</f>
        <v>0</v>
      </c>
      <c r="F72" s="201">
        <f t="shared" si="3"/>
        <v>0</v>
      </c>
      <c r="G72" s="201">
        <f t="shared" si="4"/>
        <v>0</v>
      </c>
      <c r="H72" s="201">
        <f t="shared" si="5"/>
        <v>0</v>
      </c>
      <c r="I72" s="124"/>
      <c r="J72" s="124"/>
    </row>
    <row r="73" spans="1:10" s="123" customFormat="1" ht="19.5" hidden="1" customHeight="1">
      <c r="A73" s="163">
        <v>62</v>
      </c>
      <c r="B73" s="151"/>
      <c r="C73" s="151"/>
      <c r="D73" s="151"/>
      <c r="E73" s="200">
        <f>IFERROR(VLOOKUP(B73,DATA!$A$2:$C$200,3,0),0)</f>
        <v>0</v>
      </c>
      <c r="F73" s="201">
        <f t="shared" si="3"/>
        <v>0</v>
      </c>
      <c r="G73" s="201">
        <f t="shared" si="4"/>
        <v>0</v>
      </c>
      <c r="H73" s="201">
        <f t="shared" si="5"/>
        <v>0</v>
      </c>
      <c r="I73" s="124"/>
      <c r="J73" s="124"/>
    </row>
    <row r="74" spans="1:10" s="123" customFormat="1" ht="19.5" hidden="1" customHeight="1">
      <c r="A74" s="163">
        <v>63</v>
      </c>
      <c r="B74" s="151"/>
      <c r="C74" s="151"/>
      <c r="D74" s="151"/>
      <c r="E74" s="200">
        <f>IFERROR(VLOOKUP(B74,DATA!$A$2:$C$200,3,0),0)</f>
        <v>0</v>
      </c>
      <c r="F74" s="201">
        <f t="shared" si="3"/>
        <v>0</v>
      </c>
      <c r="G74" s="201">
        <f t="shared" si="4"/>
        <v>0</v>
      </c>
      <c r="H74" s="201">
        <f t="shared" si="5"/>
        <v>0</v>
      </c>
      <c r="I74" s="124"/>
      <c r="J74" s="124"/>
    </row>
    <row r="75" spans="1:10" s="123" customFormat="1" ht="19.5" hidden="1" customHeight="1">
      <c r="A75" s="163">
        <v>64</v>
      </c>
      <c r="B75" s="151"/>
      <c r="C75" s="151"/>
      <c r="D75" s="151"/>
      <c r="E75" s="200">
        <f>IFERROR(VLOOKUP(B75,DATA!$A$2:$C$200,3,0),0)</f>
        <v>0</v>
      </c>
      <c r="F75" s="201">
        <f t="shared" si="3"/>
        <v>0</v>
      </c>
      <c r="G75" s="201">
        <f t="shared" si="4"/>
        <v>0</v>
      </c>
      <c r="H75" s="201">
        <f t="shared" si="5"/>
        <v>0</v>
      </c>
      <c r="I75" s="124"/>
      <c r="J75" s="124"/>
    </row>
    <row r="76" spans="1:10" s="123" customFormat="1" ht="19.5" hidden="1" customHeight="1">
      <c r="A76" s="163">
        <v>65</v>
      </c>
      <c r="B76" s="151"/>
      <c r="C76" s="151"/>
      <c r="D76" s="151"/>
      <c r="E76" s="200">
        <f>IFERROR(VLOOKUP(B76,DATA!$A$2:$C$200,3,0),0)</f>
        <v>0</v>
      </c>
      <c r="F76" s="201">
        <f t="shared" si="3"/>
        <v>0</v>
      </c>
      <c r="G76" s="201">
        <f t="shared" si="4"/>
        <v>0</v>
      </c>
      <c r="H76" s="201">
        <f t="shared" si="5"/>
        <v>0</v>
      </c>
      <c r="I76" s="124"/>
      <c r="J76" s="124"/>
    </row>
    <row r="77" spans="1:10" s="123" customFormat="1" ht="19.5" hidden="1" customHeight="1">
      <c r="A77" s="163">
        <v>66</v>
      </c>
      <c r="B77" s="151"/>
      <c r="C77" s="151"/>
      <c r="D77" s="151"/>
      <c r="E77" s="200">
        <f>IFERROR(VLOOKUP(B77,DATA!$A$2:$C$200,3,0),0)</f>
        <v>0</v>
      </c>
      <c r="F77" s="201">
        <f t="shared" ref="F77:F113" si="6">E77*D77</f>
        <v>0</v>
      </c>
      <c r="G77" s="201">
        <f t="shared" ref="G77:G113" si="7">F77*10%</f>
        <v>0</v>
      </c>
      <c r="H77" s="201">
        <f t="shared" ref="H77:H113" si="8">F77+G77</f>
        <v>0</v>
      </c>
      <c r="I77" s="124"/>
      <c r="J77" s="124"/>
    </row>
    <row r="78" spans="1:10" s="123" customFormat="1" ht="19.5" hidden="1" customHeight="1">
      <c r="A78" s="163">
        <v>67</v>
      </c>
      <c r="B78" s="151"/>
      <c r="C78" s="151"/>
      <c r="D78" s="151"/>
      <c r="E78" s="200">
        <f>IFERROR(VLOOKUP(B78,DATA!$A$2:$C$200,3,0),0)</f>
        <v>0</v>
      </c>
      <c r="F78" s="201">
        <f t="shared" si="6"/>
        <v>0</v>
      </c>
      <c r="G78" s="201">
        <f t="shared" si="7"/>
        <v>0</v>
      </c>
      <c r="H78" s="201">
        <f t="shared" si="8"/>
        <v>0</v>
      </c>
      <c r="I78" s="124"/>
      <c r="J78" s="124"/>
    </row>
    <row r="79" spans="1:10" s="123" customFormat="1" ht="19.5" hidden="1" customHeight="1">
      <c r="A79" s="165">
        <v>68</v>
      </c>
      <c r="B79" s="151"/>
      <c r="C79" s="151"/>
      <c r="D79" s="151"/>
      <c r="E79" s="200">
        <f>IFERROR(VLOOKUP(B79,DATA!$A$2:$C$200,3,0),0)</f>
        <v>0</v>
      </c>
      <c r="F79" s="201">
        <f t="shared" si="6"/>
        <v>0</v>
      </c>
      <c r="G79" s="201">
        <f t="shared" si="7"/>
        <v>0</v>
      </c>
      <c r="H79" s="201">
        <f t="shared" si="8"/>
        <v>0</v>
      </c>
      <c r="I79" s="124"/>
      <c r="J79" s="124"/>
    </row>
    <row r="80" spans="1:10" s="123" customFormat="1" ht="19.5" hidden="1" customHeight="1">
      <c r="A80" s="165">
        <v>69</v>
      </c>
      <c r="B80" s="151"/>
      <c r="C80" s="151"/>
      <c r="D80" s="151"/>
      <c r="E80" s="200">
        <f>IFERROR(VLOOKUP(B80,DATA!$A$2:$C$200,3,0),0)</f>
        <v>0</v>
      </c>
      <c r="F80" s="201">
        <f t="shared" si="6"/>
        <v>0</v>
      </c>
      <c r="G80" s="201">
        <f t="shared" si="7"/>
        <v>0</v>
      </c>
      <c r="H80" s="201">
        <f t="shared" si="8"/>
        <v>0</v>
      </c>
      <c r="I80" s="124"/>
      <c r="J80" s="124"/>
    </row>
    <row r="81" spans="1:10" s="123" customFormat="1" ht="19.5" hidden="1" customHeight="1">
      <c r="A81" s="165">
        <v>70</v>
      </c>
      <c r="B81" s="151"/>
      <c r="C81" s="151"/>
      <c r="D81" s="151"/>
      <c r="E81" s="200">
        <f>IFERROR(VLOOKUP(B81,DATA!$A$2:$C$200,3,0),0)</f>
        <v>0</v>
      </c>
      <c r="F81" s="201">
        <f t="shared" si="6"/>
        <v>0</v>
      </c>
      <c r="G81" s="201">
        <f t="shared" si="7"/>
        <v>0</v>
      </c>
      <c r="H81" s="201">
        <f t="shared" si="8"/>
        <v>0</v>
      </c>
      <c r="I81" s="124"/>
      <c r="J81" s="124"/>
    </row>
    <row r="82" spans="1:10" s="123" customFormat="1" ht="19.5" hidden="1" customHeight="1">
      <c r="A82" s="165">
        <v>71</v>
      </c>
      <c r="B82" s="151"/>
      <c r="C82" s="151"/>
      <c r="D82" s="151"/>
      <c r="E82" s="200">
        <f>IFERROR(VLOOKUP(B82,DATA!$A$2:$C$200,3,0),0)</f>
        <v>0</v>
      </c>
      <c r="F82" s="201">
        <f t="shared" si="6"/>
        <v>0</v>
      </c>
      <c r="G82" s="201">
        <f t="shared" si="7"/>
        <v>0</v>
      </c>
      <c r="H82" s="201">
        <f t="shared" si="8"/>
        <v>0</v>
      </c>
      <c r="I82" s="124"/>
      <c r="J82" s="124"/>
    </row>
    <row r="83" spans="1:10" s="123" customFormat="1" ht="19.5" hidden="1" customHeight="1">
      <c r="A83" s="165">
        <v>72</v>
      </c>
      <c r="B83" s="151"/>
      <c r="C83" s="151"/>
      <c r="D83" s="151"/>
      <c r="E83" s="200">
        <f>IFERROR(VLOOKUP(B83,DATA!$A$2:$C$200,3,0),0)</f>
        <v>0</v>
      </c>
      <c r="F83" s="201">
        <f t="shared" si="6"/>
        <v>0</v>
      </c>
      <c r="G83" s="201">
        <f t="shared" si="7"/>
        <v>0</v>
      </c>
      <c r="H83" s="201">
        <f t="shared" si="8"/>
        <v>0</v>
      </c>
      <c r="I83" s="124"/>
      <c r="J83" s="124"/>
    </row>
    <row r="84" spans="1:10" s="123" customFormat="1" ht="19.5" hidden="1" customHeight="1">
      <c r="A84" s="165">
        <v>73</v>
      </c>
      <c r="B84" s="151"/>
      <c r="C84" s="151"/>
      <c r="D84" s="151"/>
      <c r="E84" s="200">
        <f>IFERROR(VLOOKUP(B84,DATA!$A$2:$C$200,3,0),0)</f>
        <v>0</v>
      </c>
      <c r="F84" s="201">
        <f t="shared" si="6"/>
        <v>0</v>
      </c>
      <c r="G84" s="201">
        <f t="shared" si="7"/>
        <v>0</v>
      </c>
      <c r="H84" s="201">
        <f t="shared" si="8"/>
        <v>0</v>
      </c>
      <c r="I84" s="124"/>
      <c r="J84" s="124"/>
    </row>
    <row r="85" spans="1:10" s="123" customFormat="1" ht="19.5" hidden="1" customHeight="1">
      <c r="A85" s="165">
        <v>74</v>
      </c>
      <c r="B85" s="151"/>
      <c r="C85" s="151"/>
      <c r="D85" s="151"/>
      <c r="E85" s="200">
        <f>IFERROR(VLOOKUP(B85,DATA!$A$2:$C$200,3,0),0)</f>
        <v>0</v>
      </c>
      <c r="F85" s="201">
        <f t="shared" si="6"/>
        <v>0</v>
      </c>
      <c r="G85" s="201">
        <f t="shared" si="7"/>
        <v>0</v>
      </c>
      <c r="H85" s="201">
        <f t="shared" si="8"/>
        <v>0</v>
      </c>
      <c r="I85" s="124"/>
      <c r="J85" s="124"/>
    </row>
    <row r="86" spans="1:10" s="123" customFormat="1" ht="19.5" hidden="1" customHeight="1">
      <c r="A86" s="165">
        <v>75</v>
      </c>
      <c r="B86" s="151"/>
      <c r="C86" s="151"/>
      <c r="D86" s="151"/>
      <c r="E86" s="200">
        <f>IFERROR(VLOOKUP(B86,DATA!$A$2:$C$200,3,0),0)</f>
        <v>0</v>
      </c>
      <c r="F86" s="201">
        <f t="shared" si="6"/>
        <v>0</v>
      </c>
      <c r="G86" s="201">
        <f t="shared" si="7"/>
        <v>0</v>
      </c>
      <c r="H86" s="201">
        <f t="shared" si="8"/>
        <v>0</v>
      </c>
      <c r="I86" s="124"/>
      <c r="J86" s="124"/>
    </row>
    <row r="87" spans="1:10" s="123" customFormat="1" ht="19.5" hidden="1" customHeight="1">
      <c r="A87" s="165">
        <v>76</v>
      </c>
      <c r="B87" s="151"/>
      <c r="C87" s="151"/>
      <c r="D87" s="151"/>
      <c r="E87" s="200">
        <f>IFERROR(VLOOKUP(B87,DATA!$A$2:$C$200,3,0),0)</f>
        <v>0</v>
      </c>
      <c r="F87" s="201">
        <f t="shared" si="6"/>
        <v>0</v>
      </c>
      <c r="G87" s="201">
        <f t="shared" si="7"/>
        <v>0</v>
      </c>
      <c r="H87" s="201">
        <f t="shared" si="8"/>
        <v>0</v>
      </c>
      <c r="I87" s="124"/>
      <c r="J87" s="124"/>
    </row>
    <row r="88" spans="1:10" s="123" customFormat="1" ht="19.5" hidden="1" customHeight="1">
      <c r="A88" s="165">
        <v>77</v>
      </c>
      <c r="B88" s="151"/>
      <c r="C88" s="151"/>
      <c r="D88" s="151"/>
      <c r="E88" s="200">
        <f>IFERROR(VLOOKUP(B88,DATA!$A$2:$C$200,3,0),0)</f>
        <v>0</v>
      </c>
      <c r="F88" s="201">
        <f t="shared" si="6"/>
        <v>0</v>
      </c>
      <c r="G88" s="201">
        <f t="shared" si="7"/>
        <v>0</v>
      </c>
      <c r="H88" s="201">
        <f t="shared" si="8"/>
        <v>0</v>
      </c>
      <c r="I88" s="124"/>
      <c r="J88" s="124"/>
    </row>
    <row r="89" spans="1:10" s="123" customFormat="1" ht="19.5" hidden="1" customHeight="1">
      <c r="A89" s="165">
        <v>78</v>
      </c>
      <c r="B89" s="151"/>
      <c r="C89" s="151"/>
      <c r="D89" s="151"/>
      <c r="E89" s="200">
        <f>IFERROR(VLOOKUP(B89,DATA!$A$2:$C$200,3,0),0)</f>
        <v>0</v>
      </c>
      <c r="F89" s="201">
        <f t="shared" si="6"/>
        <v>0</v>
      </c>
      <c r="G89" s="201">
        <f t="shared" si="7"/>
        <v>0</v>
      </c>
      <c r="H89" s="201">
        <f t="shared" si="8"/>
        <v>0</v>
      </c>
      <c r="I89" s="124"/>
      <c r="J89" s="124"/>
    </row>
    <row r="90" spans="1:10" s="123" customFormat="1" ht="19.5" hidden="1" customHeight="1">
      <c r="A90" s="165">
        <v>79</v>
      </c>
      <c r="B90" s="151"/>
      <c r="C90" s="151"/>
      <c r="D90" s="151"/>
      <c r="E90" s="200">
        <f>IFERROR(VLOOKUP(B90,DATA!$A$2:$C$200,3,0),0)</f>
        <v>0</v>
      </c>
      <c r="F90" s="201">
        <f t="shared" si="6"/>
        <v>0</v>
      </c>
      <c r="G90" s="201">
        <f t="shared" si="7"/>
        <v>0</v>
      </c>
      <c r="H90" s="201">
        <f t="shared" si="8"/>
        <v>0</v>
      </c>
      <c r="I90" s="124"/>
      <c r="J90" s="124"/>
    </row>
    <row r="91" spans="1:10" s="123" customFormat="1" ht="19.5" hidden="1" customHeight="1">
      <c r="A91" s="165">
        <v>80</v>
      </c>
      <c r="B91" s="151"/>
      <c r="C91" s="151"/>
      <c r="D91" s="151"/>
      <c r="E91" s="200">
        <f>IFERROR(VLOOKUP(B91,DATA!$A$2:$C$200,3,0),0)</f>
        <v>0</v>
      </c>
      <c r="F91" s="201">
        <f t="shared" si="6"/>
        <v>0</v>
      </c>
      <c r="G91" s="201">
        <f t="shared" si="7"/>
        <v>0</v>
      </c>
      <c r="H91" s="201">
        <f t="shared" si="8"/>
        <v>0</v>
      </c>
      <c r="I91" s="124"/>
      <c r="J91" s="124"/>
    </row>
    <row r="92" spans="1:10" s="123" customFormat="1" ht="19.5" hidden="1" customHeight="1">
      <c r="A92" s="165">
        <v>81</v>
      </c>
      <c r="B92" s="151"/>
      <c r="C92" s="151"/>
      <c r="D92" s="151"/>
      <c r="E92" s="200">
        <f>IFERROR(VLOOKUP(B92,DATA!$A$2:$C$200,3,0),0)</f>
        <v>0</v>
      </c>
      <c r="F92" s="201">
        <f t="shared" si="6"/>
        <v>0</v>
      </c>
      <c r="G92" s="201">
        <f t="shared" si="7"/>
        <v>0</v>
      </c>
      <c r="H92" s="201">
        <f t="shared" si="8"/>
        <v>0</v>
      </c>
      <c r="I92" s="124"/>
      <c r="J92" s="124"/>
    </row>
    <row r="93" spans="1:10" s="123" customFormat="1" ht="19.5" hidden="1" customHeight="1">
      <c r="A93" s="165">
        <v>82</v>
      </c>
      <c r="B93" s="151"/>
      <c r="C93" s="151"/>
      <c r="D93" s="151"/>
      <c r="E93" s="200">
        <f>IFERROR(VLOOKUP(B93,DATA!$A$2:$C$200,3,0),0)</f>
        <v>0</v>
      </c>
      <c r="F93" s="201">
        <f t="shared" si="6"/>
        <v>0</v>
      </c>
      <c r="G93" s="201">
        <f t="shared" si="7"/>
        <v>0</v>
      </c>
      <c r="H93" s="201">
        <f t="shared" si="8"/>
        <v>0</v>
      </c>
      <c r="I93" s="124"/>
      <c r="J93" s="124"/>
    </row>
    <row r="94" spans="1:10" s="123" customFormat="1" ht="19.5" hidden="1" customHeight="1">
      <c r="A94" s="165">
        <v>83</v>
      </c>
      <c r="B94" s="151"/>
      <c r="C94" s="151"/>
      <c r="D94" s="151"/>
      <c r="E94" s="200">
        <f>IFERROR(VLOOKUP(B94,DATA!$A$2:$C$200,3,0),0)</f>
        <v>0</v>
      </c>
      <c r="F94" s="201">
        <f t="shared" si="6"/>
        <v>0</v>
      </c>
      <c r="G94" s="201">
        <f t="shared" si="7"/>
        <v>0</v>
      </c>
      <c r="H94" s="201">
        <f t="shared" si="8"/>
        <v>0</v>
      </c>
      <c r="I94" s="124"/>
      <c r="J94" s="124"/>
    </row>
    <row r="95" spans="1:10" s="123" customFormat="1" ht="19.5" hidden="1" customHeight="1">
      <c r="A95" s="165">
        <v>84</v>
      </c>
      <c r="B95" s="151"/>
      <c r="C95" s="151"/>
      <c r="D95" s="151"/>
      <c r="E95" s="200">
        <f>IFERROR(VLOOKUP(B95,DATA!$A$2:$C$200,3,0),0)</f>
        <v>0</v>
      </c>
      <c r="F95" s="201">
        <f t="shared" si="6"/>
        <v>0</v>
      </c>
      <c r="G95" s="201">
        <f t="shared" si="7"/>
        <v>0</v>
      </c>
      <c r="H95" s="201">
        <f t="shared" si="8"/>
        <v>0</v>
      </c>
      <c r="I95" s="124"/>
      <c r="J95" s="124"/>
    </row>
    <row r="96" spans="1:10" s="123" customFormat="1" ht="19.5" hidden="1" customHeight="1">
      <c r="A96" s="165">
        <v>85</v>
      </c>
      <c r="B96" s="151"/>
      <c r="C96" s="151"/>
      <c r="D96" s="151"/>
      <c r="E96" s="200">
        <f>IFERROR(VLOOKUP(B96,DATA!$A$2:$C$200,3,0),0)</f>
        <v>0</v>
      </c>
      <c r="F96" s="201">
        <f t="shared" si="6"/>
        <v>0</v>
      </c>
      <c r="G96" s="201">
        <f t="shared" si="7"/>
        <v>0</v>
      </c>
      <c r="H96" s="201">
        <f t="shared" si="8"/>
        <v>0</v>
      </c>
      <c r="I96" s="124"/>
      <c r="J96" s="124"/>
    </row>
    <row r="97" spans="1:10" s="123" customFormat="1" ht="19.5" hidden="1" customHeight="1">
      <c r="A97" s="165">
        <v>86</v>
      </c>
      <c r="B97" s="151"/>
      <c r="C97" s="151"/>
      <c r="D97" s="151"/>
      <c r="E97" s="200">
        <f>IFERROR(VLOOKUP(B97,DATA!$A$2:$C$200,3,0),0)</f>
        <v>0</v>
      </c>
      <c r="F97" s="201">
        <f t="shared" si="6"/>
        <v>0</v>
      </c>
      <c r="G97" s="201">
        <f t="shared" si="7"/>
        <v>0</v>
      </c>
      <c r="H97" s="201">
        <f t="shared" si="8"/>
        <v>0</v>
      </c>
      <c r="I97" s="124"/>
      <c r="J97" s="124"/>
    </row>
    <row r="98" spans="1:10" s="123" customFormat="1" ht="19.5" hidden="1" customHeight="1">
      <c r="A98" s="165">
        <v>87</v>
      </c>
      <c r="B98" s="151"/>
      <c r="C98" s="151"/>
      <c r="D98" s="151"/>
      <c r="E98" s="200">
        <f>IFERROR(VLOOKUP(B98,DATA!$A$2:$C$200,3,0),0)</f>
        <v>0</v>
      </c>
      <c r="F98" s="201">
        <f t="shared" si="6"/>
        <v>0</v>
      </c>
      <c r="G98" s="201">
        <f t="shared" si="7"/>
        <v>0</v>
      </c>
      <c r="H98" s="201">
        <f t="shared" si="8"/>
        <v>0</v>
      </c>
      <c r="I98" s="124"/>
      <c r="J98" s="124"/>
    </row>
    <row r="99" spans="1:10" s="123" customFormat="1" ht="19.5" hidden="1" customHeight="1">
      <c r="A99" s="165">
        <v>88</v>
      </c>
      <c r="B99" s="151"/>
      <c r="C99" s="151"/>
      <c r="D99" s="151"/>
      <c r="E99" s="200">
        <f>IFERROR(VLOOKUP(B99,DATA!$A$2:$C$200,3,0),0)</f>
        <v>0</v>
      </c>
      <c r="F99" s="201">
        <f t="shared" si="6"/>
        <v>0</v>
      </c>
      <c r="G99" s="201">
        <f t="shared" si="7"/>
        <v>0</v>
      </c>
      <c r="H99" s="201">
        <f t="shared" si="8"/>
        <v>0</v>
      </c>
      <c r="I99" s="124"/>
      <c r="J99" s="124"/>
    </row>
    <row r="100" spans="1:10" s="123" customFormat="1" ht="19.5" hidden="1" customHeight="1">
      <c r="A100" s="165">
        <v>89</v>
      </c>
      <c r="B100" s="164"/>
      <c r="C100" s="151"/>
      <c r="D100" s="151"/>
      <c r="E100" s="200">
        <f>IFERROR(VLOOKUP(B100,DATA!$A$2:$C$200,3,0),0)</f>
        <v>0</v>
      </c>
      <c r="F100" s="201">
        <f t="shared" si="6"/>
        <v>0</v>
      </c>
      <c r="G100" s="201">
        <f t="shared" si="7"/>
        <v>0</v>
      </c>
      <c r="H100" s="201">
        <f t="shared" si="8"/>
        <v>0</v>
      </c>
      <c r="I100" s="124"/>
      <c r="J100" s="124"/>
    </row>
    <row r="101" spans="1:10" s="123" customFormat="1" ht="19.5" hidden="1" customHeight="1">
      <c r="A101" s="165">
        <v>90</v>
      </c>
      <c r="B101" s="164"/>
      <c r="C101" s="151"/>
      <c r="D101" s="151"/>
      <c r="E101" s="200">
        <f>IFERROR(VLOOKUP(B101,DATA!$A$2:$C$200,3,0),0)</f>
        <v>0</v>
      </c>
      <c r="F101" s="201">
        <f t="shared" si="6"/>
        <v>0</v>
      </c>
      <c r="G101" s="201">
        <f t="shared" si="7"/>
        <v>0</v>
      </c>
      <c r="H101" s="201">
        <f t="shared" si="8"/>
        <v>0</v>
      </c>
      <c r="I101" s="124"/>
      <c r="J101" s="124"/>
    </row>
    <row r="102" spans="1:10" s="123" customFormat="1" ht="19.5" hidden="1" customHeight="1">
      <c r="A102" s="165">
        <v>91</v>
      </c>
      <c r="B102" s="164"/>
      <c r="C102" s="151"/>
      <c r="D102" s="151"/>
      <c r="E102" s="200">
        <f>IFERROR(VLOOKUP(B102,DATA!$A$2:$C$200,3,0),0)</f>
        <v>0</v>
      </c>
      <c r="F102" s="201">
        <f t="shared" si="6"/>
        <v>0</v>
      </c>
      <c r="G102" s="201">
        <f t="shared" si="7"/>
        <v>0</v>
      </c>
      <c r="H102" s="201">
        <f t="shared" si="8"/>
        <v>0</v>
      </c>
      <c r="I102" s="124"/>
      <c r="J102" s="124"/>
    </row>
    <row r="103" spans="1:10" s="123" customFormat="1" ht="19.5" hidden="1" customHeight="1">
      <c r="A103" s="165">
        <v>92</v>
      </c>
      <c r="B103" s="164"/>
      <c r="C103" s="151"/>
      <c r="D103" s="151"/>
      <c r="E103" s="200">
        <f>IFERROR(VLOOKUP(B103,DATA!$A$2:$C$200,3,0),0)</f>
        <v>0</v>
      </c>
      <c r="F103" s="201">
        <f t="shared" si="6"/>
        <v>0</v>
      </c>
      <c r="G103" s="201">
        <f t="shared" si="7"/>
        <v>0</v>
      </c>
      <c r="H103" s="201">
        <f t="shared" si="8"/>
        <v>0</v>
      </c>
      <c r="I103" s="124"/>
      <c r="J103" s="124"/>
    </row>
    <row r="104" spans="1:10" s="123" customFormat="1" ht="19.5" hidden="1" customHeight="1">
      <c r="A104" s="165">
        <v>93</v>
      </c>
      <c r="B104" s="164"/>
      <c r="C104" s="151"/>
      <c r="D104" s="151"/>
      <c r="E104" s="200">
        <f>IFERROR(VLOOKUP(B104,DATA!$A$2:$C$200,3,0),0)</f>
        <v>0</v>
      </c>
      <c r="F104" s="201">
        <f t="shared" si="6"/>
        <v>0</v>
      </c>
      <c r="G104" s="201">
        <f t="shared" si="7"/>
        <v>0</v>
      </c>
      <c r="H104" s="201">
        <f t="shared" si="8"/>
        <v>0</v>
      </c>
      <c r="I104" s="124"/>
      <c r="J104" s="124"/>
    </row>
    <row r="105" spans="1:10" s="123" customFormat="1" ht="19.5" hidden="1" customHeight="1">
      <c r="A105" s="165">
        <v>94</v>
      </c>
      <c r="B105" s="164"/>
      <c r="C105" s="151"/>
      <c r="D105" s="151"/>
      <c r="E105" s="200">
        <f>IFERROR(VLOOKUP(B105,DATA!$A$2:$C$200,3,0),0)</f>
        <v>0</v>
      </c>
      <c r="F105" s="201">
        <f t="shared" si="6"/>
        <v>0</v>
      </c>
      <c r="G105" s="201">
        <f t="shared" si="7"/>
        <v>0</v>
      </c>
      <c r="H105" s="201">
        <f t="shared" si="8"/>
        <v>0</v>
      </c>
      <c r="I105" s="124"/>
      <c r="J105" s="124"/>
    </row>
    <row r="106" spans="1:10" s="123" customFormat="1" ht="19.5" hidden="1" customHeight="1">
      <c r="A106" s="165">
        <v>95</v>
      </c>
      <c r="B106" s="164"/>
      <c r="C106" s="151"/>
      <c r="D106" s="151"/>
      <c r="E106" s="200">
        <f>IFERROR(VLOOKUP(B106,DATA!$A$2:$C$200,3,0),0)</f>
        <v>0</v>
      </c>
      <c r="F106" s="201">
        <f t="shared" si="6"/>
        <v>0</v>
      </c>
      <c r="G106" s="201">
        <f t="shared" si="7"/>
        <v>0</v>
      </c>
      <c r="H106" s="201">
        <f t="shared" si="8"/>
        <v>0</v>
      </c>
      <c r="I106" s="124"/>
      <c r="J106" s="124"/>
    </row>
    <row r="107" spans="1:10" s="123" customFormat="1" ht="19.5" hidden="1" customHeight="1">
      <c r="A107" s="165">
        <v>96</v>
      </c>
      <c r="B107" s="164"/>
      <c r="C107" s="151"/>
      <c r="D107" s="151"/>
      <c r="E107" s="200">
        <f>IFERROR(VLOOKUP(B107,DATA!$A$2:$C$200,3,0),0)</f>
        <v>0</v>
      </c>
      <c r="F107" s="201">
        <f t="shared" si="6"/>
        <v>0</v>
      </c>
      <c r="G107" s="201">
        <f t="shared" si="7"/>
        <v>0</v>
      </c>
      <c r="H107" s="201">
        <f t="shared" si="8"/>
        <v>0</v>
      </c>
      <c r="I107" s="124"/>
      <c r="J107" s="124"/>
    </row>
    <row r="108" spans="1:10" s="123" customFormat="1" ht="19.5" hidden="1" customHeight="1">
      <c r="A108" s="165">
        <v>97</v>
      </c>
      <c r="B108" s="164"/>
      <c r="C108" s="151"/>
      <c r="D108" s="151"/>
      <c r="E108" s="200">
        <f>IFERROR(VLOOKUP(B108,DATA!$A$2:$C$200,3,0),0)</f>
        <v>0</v>
      </c>
      <c r="F108" s="201">
        <f t="shared" si="6"/>
        <v>0</v>
      </c>
      <c r="G108" s="201">
        <f t="shared" si="7"/>
        <v>0</v>
      </c>
      <c r="H108" s="201">
        <f t="shared" si="8"/>
        <v>0</v>
      </c>
      <c r="I108" s="124"/>
      <c r="J108" s="124"/>
    </row>
    <row r="109" spans="1:10" s="123" customFormat="1" ht="19.5" hidden="1" customHeight="1">
      <c r="A109" s="165">
        <v>98</v>
      </c>
      <c r="B109" s="164"/>
      <c r="C109" s="151"/>
      <c r="D109" s="151"/>
      <c r="E109" s="200">
        <f>IFERROR(VLOOKUP(B109,DATA!$A$2:$C$200,3,0),0)</f>
        <v>0</v>
      </c>
      <c r="F109" s="201">
        <f t="shared" si="6"/>
        <v>0</v>
      </c>
      <c r="G109" s="201">
        <f t="shared" si="7"/>
        <v>0</v>
      </c>
      <c r="H109" s="201">
        <f t="shared" si="8"/>
        <v>0</v>
      </c>
      <c r="I109" s="124"/>
      <c r="J109" s="124"/>
    </row>
    <row r="110" spans="1:10" s="123" customFormat="1" ht="19.5" hidden="1" customHeight="1">
      <c r="A110" s="165">
        <v>99</v>
      </c>
      <c r="B110" s="164"/>
      <c r="C110" s="151"/>
      <c r="D110" s="151"/>
      <c r="E110" s="200">
        <f>IFERROR(VLOOKUP(B110,DATA!$A$2:$C$200,3,0),0)</f>
        <v>0</v>
      </c>
      <c r="F110" s="201">
        <f t="shared" si="6"/>
        <v>0</v>
      </c>
      <c r="G110" s="201">
        <f t="shared" si="7"/>
        <v>0</v>
      </c>
      <c r="H110" s="201">
        <f t="shared" si="8"/>
        <v>0</v>
      </c>
      <c r="I110" s="124"/>
      <c r="J110" s="124"/>
    </row>
    <row r="111" spans="1:10" s="123" customFormat="1" ht="19.5" hidden="1" customHeight="1">
      <c r="A111" s="252">
        <v>100</v>
      </c>
      <c r="B111" s="253"/>
      <c r="C111" s="254"/>
      <c r="D111" s="254"/>
      <c r="E111" s="255">
        <f>IFERROR(VLOOKUP(B111,DATA!$A$2:$C$200,3,0),0)</f>
        <v>0</v>
      </c>
      <c r="F111" s="256">
        <f t="shared" si="6"/>
        <v>0</v>
      </c>
      <c r="G111" s="256">
        <f t="shared" si="7"/>
        <v>0</v>
      </c>
      <c r="H111" s="256">
        <f t="shared" si="8"/>
        <v>0</v>
      </c>
      <c r="I111" s="124"/>
      <c r="J111" s="124"/>
    </row>
    <row r="112" spans="1:10" s="123" customFormat="1" ht="19.5" customHeight="1">
      <c r="A112" s="195">
        <v>18</v>
      </c>
      <c r="B112" s="151" t="s">
        <v>250</v>
      </c>
      <c r="C112" s="151" t="s">
        <v>51</v>
      </c>
      <c r="D112" s="151">
        <v>300</v>
      </c>
      <c r="E112" s="257">
        <v>9500</v>
      </c>
      <c r="F112" s="201">
        <f t="shared" si="6"/>
        <v>2850000</v>
      </c>
      <c r="G112" s="201">
        <f t="shared" si="7"/>
        <v>285000</v>
      </c>
      <c r="H112" s="201">
        <f t="shared" si="8"/>
        <v>3135000</v>
      </c>
      <c r="I112" s="124"/>
      <c r="J112" s="124"/>
    </row>
    <row r="113" spans="1:244" s="123" customFormat="1" ht="19.5" customHeight="1">
      <c r="A113" s="195">
        <v>19</v>
      </c>
      <c r="B113" s="151" t="s">
        <v>251</v>
      </c>
      <c r="C113" s="151" t="s">
        <v>252</v>
      </c>
      <c r="D113" s="151">
        <v>60</v>
      </c>
      <c r="E113" s="257">
        <v>38500</v>
      </c>
      <c r="F113" s="201">
        <f t="shared" si="6"/>
        <v>2310000</v>
      </c>
      <c r="G113" s="201">
        <f t="shared" si="7"/>
        <v>231000</v>
      </c>
      <c r="H113" s="201">
        <f t="shared" si="8"/>
        <v>2541000</v>
      </c>
      <c r="I113" s="124"/>
      <c r="J113" s="124"/>
    </row>
    <row r="114" spans="1:244" ht="15.75" customHeight="1">
      <c r="A114" s="195"/>
      <c r="B114" s="150" t="s">
        <v>143</v>
      </c>
      <c r="C114" s="123"/>
      <c r="D114" s="179"/>
      <c r="E114" s="178"/>
      <c r="F114" s="258">
        <f>SUM(F12:F113)</f>
        <v>6192500</v>
      </c>
      <c r="G114" s="258">
        <f>SUM(G12:G113)</f>
        <v>619250</v>
      </c>
      <c r="H114" s="258">
        <f>SUM(H12:H113)</f>
        <v>6811750</v>
      </c>
      <c r="I114" s="162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  <c r="HB114"/>
      <c r="HC114"/>
      <c r="HD114"/>
      <c r="HE114"/>
      <c r="HF114"/>
      <c r="HG114"/>
      <c r="HH114"/>
      <c r="HI114"/>
      <c r="HJ114"/>
      <c r="HK114"/>
      <c r="HL114"/>
      <c r="HM114"/>
      <c r="HN114"/>
      <c r="HO114"/>
      <c r="HP114"/>
      <c r="HQ114"/>
      <c r="HR114"/>
      <c r="HS114"/>
      <c r="HT114"/>
      <c r="HU114"/>
      <c r="HV114"/>
      <c r="HW114"/>
      <c r="HX114"/>
      <c r="HY114"/>
      <c r="HZ114"/>
      <c r="IA114"/>
      <c r="IB114"/>
      <c r="IC114"/>
      <c r="ID114"/>
      <c r="IE114"/>
      <c r="IF114"/>
      <c r="IG114"/>
      <c r="IH114"/>
      <c r="II114"/>
      <c r="IJ114"/>
    </row>
    <row r="115" spans="1:244" ht="15" customHeight="1">
      <c r="E115" s="152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  <c r="HB115"/>
      <c r="HC115"/>
      <c r="HD115"/>
      <c r="HE115"/>
      <c r="HF115"/>
      <c r="HG115"/>
      <c r="HH115"/>
      <c r="HI115"/>
      <c r="HJ115"/>
      <c r="HK115"/>
      <c r="HL115"/>
      <c r="HM115"/>
      <c r="HN115"/>
      <c r="HO115"/>
      <c r="HP115"/>
      <c r="HQ115"/>
      <c r="HR115"/>
      <c r="HS115"/>
      <c r="HT115"/>
      <c r="HU115"/>
      <c r="HV115"/>
      <c r="HW115"/>
      <c r="HX115"/>
      <c r="HY115"/>
      <c r="HZ115"/>
      <c r="IA115"/>
      <c r="IB115"/>
      <c r="IC115"/>
      <c r="ID115"/>
      <c r="IE115"/>
      <c r="IF115"/>
      <c r="IG115"/>
      <c r="IH115"/>
      <c r="II115"/>
      <c r="IJ115"/>
    </row>
    <row r="116" spans="1:244">
      <c r="A116" s="240" t="s">
        <v>138</v>
      </c>
      <c r="B116" s="240"/>
      <c r="C116" s="239" t="s">
        <v>139</v>
      </c>
      <c r="D116" s="239"/>
      <c r="E116" s="239"/>
      <c r="F116" s="239"/>
      <c r="G116" s="238" t="s">
        <v>232</v>
      </c>
      <c r="H116" s="238"/>
      <c r="I116" s="91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  <c r="HB116"/>
      <c r="HC116"/>
      <c r="HD116"/>
      <c r="HE116"/>
      <c r="HF116"/>
      <c r="HG116"/>
      <c r="HH116"/>
      <c r="HI116"/>
      <c r="HJ116"/>
      <c r="HK116"/>
      <c r="HL116"/>
      <c r="HM116"/>
      <c r="HN116"/>
      <c r="HO116"/>
      <c r="HP116"/>
      <c r="HQ116"/>
      <c r="HR116"/>
      <c r="HS116"/>
      <c r="HT116"/>
      <c r="HU116"/>
      <c r="HV116"/>
      <c r="HW116"/>
      <c r="HX116"/>
      <c r="HY116"/>
      <c r="HZ116"/>
      <c r="IA116"/>
      <c r="IB116"/>
      <c r="IC116"/>
      <c r="ID116"/>
      <c r="IE116"/>
      <c r="IF116"/>
      <c r="IG116"/>
      <c r="IH116"/>
      <c r="II116"/>
      <c r="IJ116"/>
    </row>
    <row r="117" spans="1:244">
      <c r="A117" s="92"/>
      <c r="B117" s="92"/>
      <c r="C117" s="92"/>
      <c r="D117" s="92"/>
      <c r="E117" s="92"/>
      <c r="F117" s="92"/>
      <c r="G117" s="92"/>
      <c r="H117" s="92"/>
      <c r="I117" s="91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  <c r="HB117"/>
      <c r="HC117"/>
      <c r="HD117"/>
      <c r="HE117"/>
      <c r="HF117"/>
      <c r="HG117"/>
      <c r="HH117"/>
      <c r="HI117"/>
      <c r="HJ117"/>
      <c r="HK117"/>
      <c r="HL117"/>
      <c r="HM117"/>
      <c r="HN117"/>
      <c r="HO117"/>
      <c r="HP117"/>
      <c r="HQ117"/>
      <c r="HR117"/>
      <c r="HS117"/>
      <c r="HT117"/>
      <c r="HU117"/>
      <c r="HV117"/>
      <c r="HW117"/>
      <c r="HX117"/>
      <c r="HY117"/>
      <c r="HZ117"/>
      <c r="IA117"/>
      <c r="IB117"/>
      <c r="IC117"/>
      <c r="ID117"/>
      <c r="IE117"/>
      <c r="IF117"/>
      <c r="IG117"/>
      <c r="IH117"/>
      <c r="II117"/>
      <c r="IJ117"/>
    </row>
    <row r="118" spans="1:244">
      <c r="A118" s="90"/>
      <c r="B118" s="90"/>
      <c r="C118" s="90"/>
      <c r="D118" s="90"/>
      <c r="E118" s="90"/>
      <c r="F118" s="90"/>
      <c r="G118" s="90"/>
      <c r="H118" s="90"/>
      <c r="I118" s="91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  <c r="HB118"/>
      <c r="HC118"/>
      <c r="HD118"/>
      <c r="HE118"/>
      <c r="HF118"/>
      <c r="HG118"/>
      <c r="HH118"/>
      <c r="HI118"/>
      <c r="HJ118"/>
      <c r="HK118"/>
      <c r="HL118"/>
      <c r="HM118"/>
      <c r="HN118"/>
      <c r="HO118"/>
      <c r="HP118"/>
      <c r="HQ118"/>
      <c r="HR118"/>
      <c r="HS118"/>
      <c r="HT118"/>
      <c r="HU118"/>
      <c r="HV118"/>
      <c r="HW118"/>
      <c r="HX118"/>
      <c r="HY118"/>
      <c r="HZ118"/>
      <c r="IA118"/>
      <c r="IB118"/>
      <c r="IC118"/>
      <c r="ID118"/>
      <c r="IE118"/>
      <c r="IF118"/>
      <c r="IG118"/>
      <c r="IH118"/>
      <c r="II118"/>
      <c r="IJ118"/>
    </row>
    <row r="119" spans="1:244">
      <c r="A119" s="90"/>
      <c r="B119" s="90"/>
      <c r="C119" s="90"/>
      <c r="D119" s="90"/>
      <c r="E119" s="90"/>
      <c r="F119" s="90"/>
      <c r="G119" s="90"/>
      <c r="H119" s="90"/>
      <c r="I119" s="91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  <c r="HB119"/>
      <c r="HC119"/>
      <c r="HD119"/>
      <c r="HE119"/>
      <c r="HF119"/>
      <c r="HG119"/>
      <c r="HH119"/>
      <c r="HI119"/>
      <c r="HJ119"/>
      <c r="HK119"/>
      <c r="HL119"/>
      <c r="HM119"/>
      <c r="HN119"/>
      <c r="HO119"/>
      <c r="HP119"/>
      <c r="HQ119"/>
      <c r="HR119"/>
      <c r="HS119"/>
      <c r="HT119"/>
      <c r="HU119"/>
      <c r="HV119"/>
      <c r="HW119"/>
      <c r="HX119"/>
      <c r="HY119"/>
      <c r="HZ119"/>
      <c r="IA119"/>
      <c r="IB119"/>
      <c r="IC119"/>
      <c r="ID119"/>
      <c r="IE119"/>
      <c r="IF119"/>
      <c r="IG119"/>
      <c r="IH119"/>
      <c r="II119"/>
      <c r="IJ119"/>
    </row>
    <row r="120" spans="1:244">
      <c r="A120" s="90"/>
      <c r="B120" s="90"/>
      <c r="C120" s="90"/>
      <c r="D120" s="90"/>
      <c r="E120" s="90"/>
      <c r="F120" s="90"/>
      <c r="G120" s="90"/>
      <c r="H120" s="93"/>
      <c r="I120" s="93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  <c r="HB120"/>
      <c r="HC120"/>
      <c r="HD120"/>
      <c r="HE120"/>
      <c r="HF120"/>
      <c r="HG120"/>
      <c r="HH120"/>
      <c r="HI120"/>
      <c r="HJ120"/>
      <c r="HK120"/>
      <c r="HL120"/>
      <c r="HM120"/>
      <c r="HN120"/>
      <c r="HO120"/>
      <c r="HP120"/>
      <c r="HQ120"/>
      <c r="HR120"/>
      <c r="HS120"/>
      <c r="HT120"/>
      <c r="HU120"/>
      <c r="HV120"/>
      <c r="HW120"/>
      <c r="HX120"/>
      <c r="HY120"/>
      <c r="HZ120"/>
      <c r="IA120"/>
      <c r="IB120"/>
      <c r="IC120"/>
      <c r="ID120"/>
      <c r="IE120"/>
      <c r="IF120"/>
      <c r="IG120"/>
      <c r="IH120"/>
      <c r="II120"/>
      <c r="IJ120"/>
    </row>
    <row r="121" spans="1:244" ht="9" customHeight="1">
      <c r="A121" s="90"/>
      <c r="B121" s="90"/>
      <c r="C121" s="90"/>
      <c r="D121" s="90"/>
      <c r="E121" s="90"/>
      <c r="F121" s="90"/>
      <c r="G121" s="90"/>
      <c r="H121" s="92"/>
      <c r="I121" s="92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  <c r="HB121"/>
      <c r="HC121"/>
      <c r="HD121"/>
      <c r="HE121"/>
      <c r="HF121"/>
      <c r="HG121"/>
      <c r="HH121"/>
      <c r="HI121"/>
      <c r="HJ121"/>
      <c r="HK121"/>
      <c r="HL121"/>
      <c r="HM121"/>
      <c r="HN121"/>
      <c r="HO121"/>
      <c r="HP121"/>
      <c r="HQ121"/>
      <c r="HR121"/>
      <c r="HS121"/>
      <c r="HT121"/>
      <c r="HU121"/>
      <c r="HV121"/>
      <c r="HW121"/>
      <c r="HX121"/>
      <c r="HY121"/>
      <c r="HZ121"/>
      <c r="IA121"/>
      <c r="IB121"/>
      <c r="IC121"/>
      <c r="ID121"/>
      <c r="IE121"/>
      <c r="IF121"/>
      <c r="IG121"/>
      <c r="IH121"/>
      <c r="II121"/>
      <c r="IJ121"/>
    </row>
    <row r="122" spans="1:244" ht="51.75" customHeight="1">
      <c r="A122" s="244" t="s">
        <v>142</v>
      </c>
      <c r="B122" s="244"/>
      <c r="C122" s="243" t="s">
        <v>246</v>
      </c>
      <c r="D122" s="243"/>
      <c r="E122" s="243"/>
      <c r="F122" s="94"/>
      <c r="G122" s="241" t="s">
        <v>233</v>
      </c>
      <c r="H122" s="241"/>
      <c r="I122" s="94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  <c r="HB122"/>
      <c r="HC122"/>
      <c r="HD122"/>
      <c r="HE122"/>
      <c r="HF122"/>
      <c r="HG122"/>
      <c r="HH122"/>
      <c r="HI122"/>
      <c r="HJ122"/>
      <c r="HK122"/>
      <c r="HL122"/>
      <c r="HM122"/>
      <c r="HN122"/>
      <c r="HO122"/>
      <c r="HP122"/>
      <c r="HQ122"/>
      <c r="HR122"/>
      <c r="HS122"/>
      <c r="HT122"/>
      <c r="HU122"/>
      <c r="HV122"/>
      <c r="HW122"/>
      <c r="HX122"/>
      <c r="HY122"/>
      <c r="HZ122"/>
      <c r="IA122"/>
      <c r="IB122"/>
      <c r="IC122"/>
      <c r="ID122"/>
      <c r="IE122"/>
      <c r="IF122"/>
      <c r="IG122"/>
      <c r="IH122"/>
      <c r="II122"/>
      <c r="IJ122"/>
    </row>
    <row r="123" spans="1:244" ht="33" customHeight="1">
      <c r="A123" s="242" t="s">
        <v>141</v>
      </c>
      <c r="B123" s="242"/>
      <c r="C123" s="242" t="s">
        <v>245</v>
      </c>
      <c r="D123" s="242"/>
      <c r="E123" s="242"/>
      <c r="F123" s="92"/>
      <c r="G123" s="242" t="s">
        <v>234</v>
      </c>
      <c r="H123" s="242"/>
      <c r="I123" s="89"/>
      <c r="J123"/>
      <c r="K123"/>
      <c r="L123" s="89"/>
      <c r="M123" s="89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  <c r="HB123"/>
      <c r="HC123"/>
      <c r="HD123"/>
      <c r="HE123"/>
      <c r="HF123"/>
      <c r="HG123"/>
      <c r="HH123"/>
      <c r="HI123"/>
      <c r="HJ123"/>
      <c r="HK123"/>
      <c r="HL123"/>
      <c r="HM123"/>
      <c r="HN123"/>
      <c r="HO123"/>
      <c r="HP123"/>
      <c r="HQ123"/>
      <c r="HR123"/>
      <c r="HS123"/>
      <c r="HT123"/>
      <c r="HU123"/>
      <c r="HV123"/>
      <c r="HW123"/>
      <c r="HX123"/>
      <c r="HY123"/>
      <c r="HZ123"/>
      <c r="IA123"/>
      <c r="IB123"/>
      <c r="IC123"/>
      <c r="ID123"/>
      <c r="IE123"/>
      <c r="IF123"/>
      <c r="IG123"/>
      <c r="IH123"/>
      <c r="II123"/>
      <c r="IJ123"/>
    </row>
    <row r="124" spans="1:244" ht="15" customHeight="1">
      <c r="A124" s="237" t="s">
        <v>244</v>
      </c>
      <c r="B124" s="237"/>
      <c r="C124" s="237" t="s">
        <v>244</v>
      </c>
      <c r="D124" s="237"/>
      <c r="E124" s="237"/>
      <c r="F124" s="89"/>
      <c r="G124" s="237" t="s">
        <v>140</v>
      </c>
      <c r="H124" s="237"/>
      <c r="I124" s="89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  <c r="HB124"/>
      <c r="HC124"/>
      <c r="HD124"/>
      <c r="HE124"/>
      <c r="HF124"/>
      <c r="HG124"/>
      <c r="HH124"/>
      <c r="HI124"/>
      <c r="HJ124"/>
      <c r="HK124"/>
      <c r="HL124"/>
      <c r="HM124"/>
      <c r="HN124"/>
      <c r="HO124"/>
      <c r="HP124"/>
      <c r="HQ124"/>
      <c r="HR124"/>
      <c r="HS124"/>
      <c r="HT124"/>
      <c r="HU124"/>
      <c r="HV124"/>
      <c r="HW124"/>
      <c r="HX124"/>
      <c r="HY124"/>
      <c r="HZ124"/>
      <c r="IA124"/>
      <c r="IB124"/>
      <c r="IC124"/>
      <c r="ID124"/>
      <c r="IE124"/>
      <c r="IF124"/>
      <c r="IG124"/>
      <c r="IH124"/>
      <c r="II124"/>
      <c r="IJ124"/>
    </row>
    <row r="125" spans="1:244"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  <c r="HB125"/>
      <c r="HC125"/>
      <c r="HD125"/>
      <c r="HE125"/>
      <c r="HF125"/>
      <c r="HG125"/>
      <c r="HH125"/>
      <c r="HI125"/>
      <c r="HJ125"/>
      <c r="HK125"/>
      <c r="HL125"/>
      <c r="HM125"/>
      <c r="HN125"/>
      <c r="HO125"/>
      <c r="HP125"/>
      <c r="HQ125"/>
      <c r="HR125"/>
      <c r="HS125"/>
      <c r="HT125"/>
      <c r="HU125"/>
      <c r="HV125"/>
      <c r="HW125"/>
      <c r="HX125"/>
      <c r="HY125"/>
      <c r="HZ125"/>
      <c r="IA125"/>
      <c r="IB125"/>
      <c r="IC125"/>
      <c r="ID125"/>
      <c r="IE125"/>
      <c r="IF125"/>
      <c r="IG125"/>
      <c r="IH125"/>
      <c r="II125"/>
      <c r="IJ125"/>
    </row>
  </sheetData>
  <autoFilter ref="A11:H114">
    <filterColumn colId="5">
      <customFilters>
        <customFilter operator="greaterThan" val="0"/>
      </customFilters>
    </filterColumn>
  </autoFilter>
  <mergeCells count="27">
    <mergeCell ref="G124:H124"/>
    <mergeCell ref="G116:H116"/>
    <mergeCell ref="C116:F116"/>
    <mergeCell ref="A116:B116"/>
    <mergeCell ref="G122:H122"/>
    <mergeCell ref="G123:H123"/>
    <mergeCell ref="C122:E122"/>
    <mergeCell ref="A124:B124"/>
    <mergeCell ref="C124:E124"/>
    <mergeCell ref="A122:B122"/>
    <mergeCell ref="A123:B123"/>
    <mergeCell ref="C123:E123"/>
    <mergeCell ref="A1:H1"/>
    <mergeCell ref="F3:H3"/>
    <mergeCell ref="F4:H4"/>
    <mergeCell ref="F8:H8"/>
    <mergeCell ref="F9:H9"/>
    <mergeCell ref="A5:B5"/>
    <mergeCell ref="A2:H2"/>
    <mergeCell ref="A7:E7"/>
    <mergeCell ref="A9:E9"/>
    <mergeCell ref="A8:E8"/>
    <mergeCell ref="C5:E5"/>
    <mergeCell ref="F5:H5"/>
    <mergeCell ref="F6:H6"/>
    <mergeCell ref="F7:H7"/>
    <mergeCell ref="A6:E6"/>
  </mergeCells>
  <pageMargins left="0.7" right="0.7" top="0.5" bottom="0.25" header="0.3" footer="0.3"/>
  <pageSetup scale="70" fitToHeight="0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 filterMode="1">
    <pageSetUpPr fitToPage="1"/>
  </sheetPr>
  <dimension ref="A1:IH202"/>
  <sheetViews>
    <sheetView topLeftCell="A3" zoomScaleSheetLayoutView="100" workbookViewId="0">
      <selection activeCell="A3" sqref="A3:C109"/>
    </sheetView>
  </sheetViews>
  <sheetFormatPr defaultRowHeight="15"/>
  <cols>
    <col min="1" max="1" width="30.7109375" style="2" customWidth="1"/>
    <col min="2" max="2" width="5.5703125" style="1" customWidth="1"/>
    <col min="3" max="3" width="6.5703125" style="2" customWidth="1"/>
    <col min="4" max="4" width="10.5703125" style="174" customWidth="1"/>
    <col min="5" max="5" width="10.85546875" style="174" customWidth="1"/>
    <col min="6" max="6" width="12.42578125" style="174" customWidth="1"/>
    <col min="7" max="242" width="9.7109375" style="2" customWidth="1"/>
    <col min="243" max="1014" width="9.7109375" customWidth="1"/>
    <col min="1015" max="1015" width="10.28515625" customWidth="1"/>
  </cols>
  <sheetData>
    <row r="1" spans="1:242" ht="38.25" hidden="1">
      <c r="A1" s="175" t="s">
        <v>106</v>
      </c>
      <c r="B1" s="181" t="s">
        <v>107</v>
      </c>
      <c r="C1" s="182" t="s">
        <v>17</v>
      </c>
      <c r="D1" s="171"/>
      <c r="E1" s="171"/>
      <c r="F1" s="17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</row>
    <row r="2" spans="1:242" ht="19.5" hidden="1" customHeight="1">
      <c r="A2" s="85" t="str">
        <f>'THONG KE'!B7</f>
        <v>Acco Nhựa</v>
      </c>
      <c r="B2" s="130" t="str">
        <f>'THONG KE'!C7</f>
        <v>hộp</v>
      </c>
      <c r="C2" s="151">
        <f>VLOOKUP(A2,'THONG KE'!$B$7:$AC$200,28,0)</f>
        <v>0</v>
      </c>
      <c r="D2" s="101"/>
      <c r="E2" s="101"/>
      <c r="F2" s="101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</row>
    <row r="3" spans="1:242" ht="19.5" customHeight="1">
      <c r="A3" s="130" t="str">
        <f>'THONG KE'!B8</f>
        <v>Bấm Kim 10E Tr - Plus</v>
      </c>
      <c r="B3" s="130" t="str">
        <f>'THONG KE'!C8</f>
        <v>cái</v>
      </c>
      <c r="C3" s="151">
        <f>VLOOKUP(A3,'THONG KE'!$B$7:$AC$200,28,0)</f>
        <v>4</v>
      </c>
      <c r="D3" s="101"/>
      <c r="E3" s="101"/>
      <c r="F3" s="101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</row>
    <row r="4" spans="1:242" ht="19.5" hidden="1" customHeight="1">
      <c r="A4" s="130" t="str">
        <f>'THONG KE'!B9</f>
        <v>Bấm kim số 03</v>
      </c>
      <c r="B4" s="130" t="str">
        <f>'THONG KE'!C9</f>
        <v>cái</v>
      </c>
      <c r="C4" s="151">
        <f>VLOOKUP(A4,'THONG KE'!$B$7:$AC$200,28,0)</f>
        <v>0</v>
      </c>
      <c r="D4" s="101"/>
      <c r="E4" s="101"/>
      <c r="F4" s="101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</row>
    <row r="5" spans="1:242" ht="19.5" hidden="1" customHeight="1">
      <c r="A5" s="130" t="str">
        <f>'THONG KE'!B10</f>
        <v>Bấm Lổ Eagle 837</v>
      </c>
      <c r="B5" s="130" t="str">
        <f>'THONG KE'!C10</f>
        <v>cái</v>
      </c>
      <c r="C5" s="151">
        <f>VLOOKUP(A5,'THONG KE'!$B$7:$AC$200,28,0)</f>
        <v>0</v>
      </c>
      <c r="D5" s="101"/>
      <c r="E5" s="101"/>
      <c r="F5" s="101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</row>
    <row r="6" spans="1:242" ht="19.5" hidden="1" customHeight="1">
      <c r="A6" s="130" t="str">
        <f>'THONG KE'!B11</f>
        <v>Băng Keo 2 Mặt 1,6Cm</v>
      </c>
      <c r="B6" s="130" t="str">
        <f>'THONG KE'!C11</f>
        <v>cuộn</v>
      </c>
      <c r="C6" s="151">
        <f>VLOOKUP(A6,'THONG KE'!$B$7:$AC$200,28,0)</f>
        <v>0</v>
      </c>
      <c r="D6" s="101"/>
      <c r="E6" s="101"/>
      <c r="F6" s="101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</row>
    <row r="7" spans="1:242" ht="19.5" hidden="1" customHeight="1">
      <c r="A7" s="130" t="str">
        <f>'THONG KE'!B12</f>
        <v>Băng Keo 2 Mặt Xốp 2,4Cm</v>
      </c>
      <c r="B7" s="130" t="str">
        <f>'THONG KE'!C12</f>
        <v>cuộn</v>
      </c>
      <c r="C7" s="151">
        <f>VLOOKUP(A7,'THONG KE'!$B$7:$AC$200,28,0)</f>
        <v>0</v>
      </c>
      <c r="D7" s="101"/>
      <c r="E7" s="101"/>
      <c r="F7" s="101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</row>
    <row r="8" spans="1:242" ht="19.5" hidden="1" customHeight="1">
      <c r="A8" s="130" t="str">
        <f>'THONG KE'!B13</f>
        <v>Băng keo giấy</v>
      </c>
      <c r="B8" s="130" t="str">
        <f>'THONG KE'!C13</f>
        <v>cuộn</v>
      </c>
      <c r="C8" s="151">
        <f>VLOOKUP(A8,'THONG KE'!$B$7:$AC$200,28,0)</f>
        <v>0</v>
      </c>
      <c r="D8" s="101"/>
      <c r="E8" s="101"/>
      <c r="F8" s="101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</row>
    <row r="9" spans="1:242" ht="19.5" customHeight="1">
      <c r="A9" s="130" t="str">
        <f>'THONG KE'!B14</f>
        <v>Băng keo trong 2cm</v>
      </c>
      <c r="B9" s="130" t="str">
        <f>'THONG KE'!C14</f>
        <v>cuộn</v>
      </c>
      <c r="C9" s="151">
        <f>VLOOKUP(A9,'THONG KE'!$B$7:$AC$200,28,0)</f>
        <v>10</v>
      </c>
      <c r="D9" s="101"/>
      <c r="E9" s="101"/>
      <c r="F9" s="101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</row>
    <row r="10" spans="1:242" ht="19.5" hidden="1" customHeight="1">
      <c r="A10" s="130" t="str">
        <f>'THONG KE'!B15</f>
        <v>Băng Keo Trong 5Cm 80Yards</v>
      </c>
      <c r="B10" s="130" t="str">
        <f>'THONG KE'!C15</f>
        <v>cuộn</v>
      </c>
      <c r="C10" s="151">
        <f>VLOOKUP(A10,'THONG KE'!$B$7:$AC$200,28,0)</f>
        <v>0</v>
      </c>
      <c r="D10" s="101"/>
      <c r="E10" s="101"/>
      <c r="F10" s="101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</row>
    <row r="11" spans="1:242" ht="19.5" hidden="1" customHeight="1">
      <c r="A11" s="130" t="str">
        <f>'THONG KE'!B16</f>
        <v>Bảng Tên Nhựa Dẻo (Đứng)</v>
      </c>
      <c r="B11" s="130" t="str">
        <f>'THONG KE'!C16</f>
        <v>cái</v>
      </c>
      <c r="C11" s="151">
        <f>VLOOKUP(A11,'THONG KE'!$B$7:$AC$200,28,0)</f>
        <v>0</v>
      </c>
      <c r="D11" s="101"/>
      <c r="E11" s="101"/>
      <c r="F11" s="10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</row>
    <row r="12" spans="1:242" ht="19.5" hidden="1" customHeight="1">
      <c r="A12" s="130" t="str">
        <f>'THONG KE'!B17</f>
        <v>Bảng Tên Nhựa Dẻo (Ngang)</v>
      </c>
      <c r="B12" s="130" t="str">
        <f>'THONG KE'!C17</f>
        <v>cái</v>
      </c>
      <c r="C12" s="151">
        <f>VLOOKUP(A12,'THONG KE'!$B$7:$AC$200,28,0)</f>
        <v>0</v>
      </c>
      <c r="D12" s="101"/>
      <c r="E12" s="101"/>
      <c r="F12" s="101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</row>
    <row r="13" spans="1:242" ht="19.5" hidden="1" customHeight="1">
      <c r="A13" s="130" t="str">
        <f>'THONG KE'!B18</f>
        <v>Băng Xóa Mini 5 Series Bag Jpn</v>
      </c>
      <c r="B13" s="130" t="str">
        <f>'THONG KE'!C18</f>
        <v>cái</v>
      </c>
      <c r="C13" s="151">
        <f>VLOOKUP(A13,'THONG KE'!$B$7:$AC$200,28,0)</f>
        <v>0</v>
      </c>
      <c r="D13" s="101"/>
      <c r="E13" s="101"/>
      <c r="F13" s="101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</row>
    <row r="14" spans="1:242" ht="19.5" hidden="1" customHeight="1">
      <c r="A14" s="130" t="str">
        <f>'THONG KE'!B19</f>
        <v>Bìa 1 Nút F4</v>
      </c>
      <c r="B14" s="130" t="str">
        <f>'THONG KE'!C19</f>
        <v>cái</v>
      </c>
      <c r="C14" s="151">
        <f>VLOOKUP(A14,'THONG KE'!$B$7:$AC$200,28,0)</f>
        <v>0</v>
      </c>
      <c r="D14" s="101"/>
      <c r="E14" s="101"/>
      <c r="F14" s="101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</row>
    <row r="15" spans="1:242" ht="19.5" hidden="1" customHeight="1">
      <c r="A15" s="130" t="str">
        <f>'THONG KE'!B20</f>
        <v>Bìa Accord A4</v>
      </c>
      <c r="B15" s="130" t="str">
        <f>'THONG KE'!C20</f>
        <v>cái</v>
      </c>
      <c r="C15" s="151">
        <f>VLOOKUP(A15,'THONG KE'!$B$7:$AC$200,28,0)</f>
        <v>0</v>
      </c>
      <c r="D15" s="101"/>
      <c r="E15" s="101"/>
      <c r="F15" s="101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</row>
    <row r="16" spans="1:242" ht="19.5" hidden="1" customHeight="1">
      <c r="A16" s="130" t="str">
        <f>'THONG KE'!B21</f>
        <v>Bìa Còng 7P 2 Mặt Si A4</v>
      </c>
      <c r="B16" s="130" t="str">
        <f>'THONG KE'!C21</f>
        <v>cái</v>
      </c>
      <c r="C16" s="151">
        <f>VLOOKUP(A16,'THONG KE'!$B$7:$AC$200,28,0)</f>
        <v>0</v>
      </c>
      <c r="D16" s="101"/>
      <c r="E16" s="101"/>
      <c r="F16" s="101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</row>
    <row r="17" spans="1:242" ht="19.5" hidden="1" customHeight="1">
      <c r="A17" s="130" t="str">
        <f>'THONG KE'!B22</f>
        <v>Bìa Còng 7P 2 Mặt Si F4</v>
      </c>
      <c r="B17" s="130" t="str">
        <f>'THONG KE'!C22</f>
        <v>cái</v>
      </c>
      <c r="C17" s="151">
        <f>VLOOKUP(A17,'THONG KE'!$B$7:$AC$200,28,0)</f>
        <v>0</v>
      </c>
      <c r="D17" s="101"/>
      <c r="E17" s="101"/>
      <c r="F17" s="101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</row>
    <row r="18" spans="1:242" ht="19.5" hidden="1" customHeight="1">
      <c r="A18" s="130" t="str">
        <f>'THONG KE'!B23</f>
        <v>Bìa kẹp trình ký</v>
      </c>
      <c r="B18" s="130" t="str">
        <f>'THONG KE'!C23</f>
        <v>cái</v>
      </c>
      <c r="C18" s="151">
        <f>VLOOKUP(A18,'THONG KE'!$B$7:$AC$200,28,0)</f>
        <v>0</v>
      </c>
      <c r="D18" s="101"/>
      <c r="E18" s="101"/>
      <c r="F18" s="101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</row>
    <row r="19" spans="1:242" ht="22.5" hidden="1" customHeight="1">
      <c r="A19" s="130" t="str">
        <f>'THONG KE'!B24</f>
        <v>Bìa Lá A4 Plus</v>
      </c>
      <c r="B19" s="130" t="str">
        <f>'THONG KE'!C24</f>
        <v>tờ</v>
      </c>
      <c r="C19" s="151">
        <f>VLOOKUP(A19,'THONG KE'!$B$7:$AC$200,28,0)</f>
        <v>0</v>
      </c>
      <c r="D19" s="101"/>
      <c r="E19" s="101"/>
      <c r="F19" s="101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</row>
    <row r="20" spans="1:242" ht="19.5" customHeight="1">
      <c r="A20" s="130" t="str">
        <f>'THONG KE'!B25</f>
        <v>Bìa Lổ A4</v>
      </c>
      <c r="B20" s="130" t="str">
        <f>'THONG KE'!C25</f>
        <v>tờ</v>
      </c>
      <c r="C20" s="151">
        <f>VLOOKUP(A20,'THONG KE'!$B$7:$AC$200,28,0)</f>
        <v>50</v>
      </c>
      <c r="D20" s="101"/>
      <c r="E20" s="101"/>
      <c r="F20" s="101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</row>
    <row r="21" spans="1:242" ht="19.5" hidden="1" customHeight="1">
      <c r="A21" s="130" t="str">
        <f>'THONG KE'!B26</f>
        <v>Bìa nút</v>
      </c>
      <c r="B21" s="130" t="str">
        <f>'THONG KE'!C26</f>
        <v>cái</v>
      </c>
      <c r="C21" s="151">
        <f>VLOOKUP(A21,'THONG KE'!$B$7:$AC$200,28,0)</f>
        <v>0</v>
      </c>
      <c r="D21" s="101"/>
      <c r="E21" s="101"/>
      <c r="F21" s="10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</row>
    <row r="22" spans="1:242" ht="19.5" hidden="1" customHeight="1">
      <c r="A22" s="130" t="str">
        <f>'THONG KE'!B27</f>
        <v>Bìa Thái A4 Sunflower</v>
      </c>
      <c r="B22" s="130" t="str">
        <f>'THONG KE'!C27</f>
        <v>xấp</v>
      </c>
      <c r="C22" s="151">
        <f>VLOOKUP(A22,'THONG KE'!$B$7:$AC$200,28,0)</f>
        <v>0</v>
      </c>
      <c r="D22" s="101"/>
      <c r="E22" s="101"/>
      <c r="F22" s="101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</row>
    <row r="23" spans="1:242" ht="19.5" hidden="1" customHeight="1">
      <c r="A23" s="130" t="str">
        <f>'THONG KE'!B28</f>
        <v>Bìa Trình Ký Nhựa A4</v>
      </c>
      <c r="B23" s="130" t="str">
        <f>'THONG KE'!C28</f>
        <v>cái</v>
      </c>
      <c r="C23" s="151">
        <f>VLOOKUP(A23,'THONG KE'!$B$7:$AC$200,28,0)</f>
        <v>0</v>
      </c>
      <c r="D23" s="101"/>
      <c r="E23" s="101"/>
      <c r="F23" s="101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</row>
    <row r="24" spans="1:242" ht="19.5" hidden="1" customHeight="1">
      <c r="A24" s="130" t="str">
        <f>'THONG KE'!B29</f>
        <v>Cắt Băng Keo 5P Cầm Tay</v>
      </c>
      <c r="B24" s="130" t="str">
        <f>'THONG KE'!C29</f>
        <v>cái</v>
      </c>
      <c r="C24" s="151">
        <f>VLOOKUP(A24,'THONG KE'!$B$7:$AC$200,28,0)</f>
        <v>0</v>
      </c>
      <c r="D24" s="101"/>
      <c r="E24" s="101"/>
      <c r="F24" s="101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</row>
    <row r="25" spans="1:242" ht="19.5" hidden="1" customHeight="1">
      <c r="A25" s="130" t="str">
        <f>'THONG KE'!B30</f>
        <v>Chổi lông gà</v>
      </c>
      <c r="B25" s="130" t="str">
        <f>'THONG KE'!C30</f>
        <v>cây</v>
      </c>
      <c r="C25" s="151">
        <f>VLOOKUP(A25,'THONG KE'!$B$7:$AC$200,28,0)</f>
        <v>0</v>
      </c>
      <c r="D25" s="101"/>
      <c r="E25" s="101"/>
      <c r="F25" s="101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</row>
    <row r="26" spans="1:242" ht="19.5" hidden="1" customHeight="1">
      <c r="A26" s="130" t="str">
        <f>'THONG KE'!B31</f>
        <v>Chổi trung quét bàn phím</v>
      </c>
      <c r="B26" s="130" t="str">
        <f>'THONG KE'!C31</f>
        <v>Cây</v>
      </c>
      <c r="C26" s="151">
        <f>VLOOKUP(A26,'THONG KE'!$B$7:$AC$200,28,0)</f>
        <v>0</v>
      </c>
      <c r="D26" s="101"/>
      <c r="E26" s="101"/>
      <c r="F26" s="101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</row>
    <row r="27" spans="1:242" ht="19.5" hidden="1" customHeight="1">
      <c r="A27" s="130" t="str">
        <f>'THONG KE'!B32</f>
        <v>Chuốt Chì Nhỏ Sdi 0137</v>
      </c>
      <c r="B27" s="130" t="str">
        <f>'THONG KE'!C32</f>
        <v>cái</v>
      </c>
      <c r="C27" s="151">
        <f>VLOOKUP(A27,'THONG KE'!$B$7:$AC$200,28,0)</f>
        <v>0</v>
      </c>
      <c r="D27" s="101"/>
      <c r="E27" s="101"/>
      <c r="F27" s="101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</row>
    <row r="28" spans="1:242" ht="19.5" hidden="1" customHeight="1">
      <c r="A28" s="130" t="str">
        <f>'THONG KE'!B33</f>
        <v>Cồn Nhỏ</v>
      </c>
      <c r="B28" s="130" t="str">
        <f>'THONG KE'!C33</f>
        <v>Chai</v>
      </c>
      <c r="C28" s="151">
        <f>VLOOKUP(A28,'THONG KE'!$B$7:$AC$200,28,0)</f>
        <v>0</v>
      </c>
      <c r="D28" s="101"/>
      <c r="E28" s="101"/>
      <c r="F28" s="101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</row>
    <row r="29" spans="1:242" ht="19.5" hidden="1" customHeight="1">
      <c r="A29" s="130" t="str">
        <f>'THONG KE'!B34</f>
        <v>Dao Rọc Giấy Lớn Tth 280</v>
      </c>
      <c r="B29" s="130" t="str">
        <f>'THONG KE'!C34</f>
        <v>cây</v>
      </c>
      <c r="C29" s="151">
        <f>VLOOKUP(A29,'THONG KE'!$B$7:$AC$200,28,0)</f>
        <v>0</v>
      </c>
      <c r="D29" s="101"/>
      <c r="E29" s="101"/>
      <c r="F29" s="101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</row>
    <row r="30" spans="1:242" ht="19.5" hidden="1" customHeight="1">
      <c r="A30" s="130" t="str">
        <f>'THONG KE'!B35</f>
        <v>Dao rọc giấy nhỏ SDI (loại 3 lưỡi)</v>
      </c>
      <c r="B30" s="130" t="str">
        <f>'THONG KE'!C35</f>
        <v>cây</v>
      </c>
      <c r="C30" s="151">
        <f>VLOOKUP(A30,'THONG KE'!$B$7:$AC$200,28,0)</f>
        <v>0</v>
      </c>
      <c r="D30" s="101"/>
      <c r="E30" s="101"/>
      <c r="F30" s="101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</row>
    <row r="31" spans="1:242" ht="19.5" hidden="1" customHeight="1">
      <c r="A31" s="130" t="str">
        <f>'THONG KE'!B36</f>
        <v>Dao Rọc Giấy Lớn Sdi</v>
      </c>
      <c r="B31" s="130" t="str">
        <f>'THONG KE'!C36</f>
        <v>cây</v>
      </c>
      <c r="C31" s="151">
        <f>VLOOKUP(A31,'THONG KE'!$B$7:$AC$200,28,0)</f>
        <v>0</v>
      </c>
      <c r="D31" s="101"/>
      <c r="E31" s="101"/>
      <c r="F31" s="10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</row>
    <row r="32" spans="1:242" ht="19.5" hidden="1" customHeight="1">
      <c r="A32" s="130" t="str">
        <f>'THONG KE'!B37</f>
        <v>Dao Rọc Giấy Nhỏ Sdi</v>
      </c>
      <c r="B32" s="130" t="str">
        <f>'THONG KE'!C37</f>
        <v>cây</v>
      </c>
      <c r="C32" s="151">
        <f>VLOOKUP(A32,'THONG KE'!$B$7:$AC$200,28,0)</f>
        <v>0</v>
      </c>
      <c r="D32" s="101"/>
      <c r="E32" s="101"/>
      <c r="F32" s="101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</row>
    <row r="33" spans="1:242" ht="19.5" hidden="1" customHeight="1">
      <c r="A33" s="130" t="str">
        <f>'THONG KE'!B38</f>
        <v>Đinh ghim bảng đầu nhựa</v>
      </c>
      <c r="B33" s="130" t="str">
        <f>'THONG KE'!C38</f>
        <v>bịch</v>
      </c>
      <c r="C33" s="151">
        <f>VLOOKUP(A33,'THONG KE'!$B$7:$AC$200,28,0)</f>
        <v>0</v>
      </c>
      <c r="D33" s="101"/>
      <c r="E33" s="101"/>
      <c r="F33" s="101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</row>
    <row r="34" spans="1:242" ht="19.5" hidden="1" customHeight="1">
      <c r="A34" s="130" t="str">
        <f>'THONG KE'!B39</f>
        <v>Đồ lau bảng (sử dụng bảng viết lông)</v>
      </c>
      <c r="B34" s="130" t="str">
        <f>'THONG KE'!C39</f>
        <v>cái</v>
      </c>
      <c r="C34" s="151">
        <f>VLOOKUP(A34,'THONG KE'!$B$7:$AC$200,28,0)</f>
        <v>0</v>
      </c>
      <c r="D34" s="101"/>
      <c r="E34" s="101"/>
      <c r="F34" s="101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</row>
    <row r="35" spans="1:242" ht="19.5" customHeight="1">
      <c r="A35" s="130" t="str">
        <f>'THONG KE'!B40</f>
        <v xml:space="preserve">Giấy bấm giá TTH </v>
      </c>
      <c r="B35" s="130" t="str">
        <f>'THONG KE'!C40</f>
        <v>cuộn</v>
      </c>
      <c r="C35" s="151">
        <f>VLOOKUP(A35,'THONG KE'!$B$7:$AC$200,28,0)</f>
        <v>5</v>
      </c>
      <c r="D35" s="101"/>
      <c r="E35" s="101"/>
      <c r="F35" s="101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</row>
    <row r="36" spans="1:242" ht="19.5" customHeight="1">
      <c r="A36" s="130" t="str">
        <f>'THONG KE'!B41</f>
        <v>Giấy ghi chú 2''*3</v>
      </c>
      <c r="B36" s="130" t="str">
        <f>'THONG KE'!C41</f>
        <v>xấp</v>
      </c>
      <c r="C36" s="151">
        <f>VLOOKUP(A36,'THONG KE'!$B$7:$AC$200,28,0)</f>
        <v>5</v>
      </c>
      <c r="D36" s="101"/>
      <c r="E36" s="101"/>
      <c r="F36" s="101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</row>
    <row r="37" spans="1:242" ht="19.5" hidden="1" customHeight="1">
      <c r="A37" s="130" t="str">
        <f>'THONG KE'!B42</f>
        <v>Giấy ghi chú 1''*2</v>
      </c>
      <c r="B37" s="130" t="str">
        <f>'THONG KE'!C42</f>
        <v>xấp</v>
      </c>
      <c r="C37" s="151">
        <f>VLOOKUP(A37,'THONG KE'!$B$7:$AC$200,28,0)</f>
        <v>0</v>
      </c>
      <c r="D37" s="101"/>
      <c r="E37" s="101"/>
      <c r="F37" s="101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</row>
    <row r="38" spans="1:242" ht="19.5" hidden="1" customHeight="1">
      <c r="A38" s="130" t="str">
        <f>'THONG KE'!B43</f>
        <v>Giấy ghi chú 3''*3</v>
      </c>
      <c r="B38" s="130" t="str">
        <f>'THONG KE'!C43</f>
        <v>xấp</v>
      </c>
      <c r="C38" s="151">
        <f>VLOOKUP(A38,'THONG KE'!$B$7:$AC$200,28,0)</f>
        <v>0</v>
      </c>
      <c r="D38" s="101"/>
      <c r="E38" s="101"/>
      <c r="F38" s="101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</row>
    <row r="39" spans="1:242" ht="19.5" hidden="1" customHeight="1">
      <c r="A39" s="130" t="str">
        <f>'THONG KE'!B44</f>
        <v>Giấy ghi chú 3''*4</v>
      </c>
      <c r="B39" s="130" t="str">
        <f>'THONG KE'!C44</f>
        <v>xấp</v>
      </c>
      <c r="C39" s="151">
        <f>VLOOKUP(A39,'THONG KE'!$B$7:$AC$200,28,0)</f>
        <v>0</v>
      </c>
      <c r="D39" s="101"/>
      <c r="E39" s="101"/>
      <c r="F39" s="101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</row>
    <row r="40" spans="1:242" ht="19.5" hidden="1" customHeight="1">
      <c r="A40" s="130" t="str">
        <f>'THONG KE'!B45</f>
        <v>Gôm TL nhỏ</v>
      </c>
      <c r="B40" s="130" t="str">
        <f>'THONG KE'!C45</f>
        <v>Cục</v>
      </c>
      <c r="C40" s="151">
        <f>VLOOKUP(A40,'THONG KE'!$B$7:$AC$200,28,0)</f>
        <v>0</v>
      </c>
      <c r="D40" s="101"/>
      <c r="E40" s="101"/>
      <c r="F40" s="101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</row>
    <row r="41" spans="1:242" ht="19.5" hidden="1" customHeight="1">
      <c r="A41" s="130" t="str">
        <f>'THONG KE'!B46</f>
        <v>Gôm TL trung</v>
      </c>
      <c r="B41" s="130" t="str">
        <f>'THONG KE'!C46</f>
        <v>Cục</v>
      </c>
      <c r="C41" s="151">
        <f>VLOOKUP(A41,'THONG KE'!$B$7:$AC$200,28,0)</f>
        <v>0</v>
      </c>
      <c r="D41" s="101"/>
      <c r="E41" s="101"/>
      <c r="F41" s="10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</row>
    <row r="42" spans="1:242" ht="19.5" hidden="1" customHeight="1">
      <c r="A42" s="130" t="str">
        <f>'THONG KE'!B47</f>
        <v>Hồ nước</v>
      </c>
      <c r="B42" s="130" t="str">
        <f>'THONG KE'!C47</f>
        <v>hộp</v>
      </c>
      <c r="C42" s="151">
        <f>VLOOKUP(A42,'THONG KE'!$B$7:$AC$200,28,0)</f>
        <v>0</v>
      </c>
      <c r="D42" s="101"/>
      <c r="E42" s="101"/>
      <c r="F42" s="101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</row>
    <row r="43" spans="1:242" ht="19.5" hidden="1" customHeight="1">
      <c r="A43" s="130" t="str">
        <f>'THONG KE'!B48</f>
        <v>Kéo lớn S100</v>
      </c>
      <c r="B43" s="130" t="str">
        <f>'THONG KE'!C48</f>
        <v>cây</v>
      </c>
      <c r="C43" s="151">
        <f>VLOOKUP(A43,'THONG KE'!$B$7:$AC$200,28,0)</f>
        <v>0</v>
      </c>
      <c r="D43" s="101"/>
      <c r="E43" s="101"/>
      <c r="F43" s="101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</row>
    <row r="44" spans="1:242" ht="19.5" customHeight="1">
      <c r="A44" s="130" t="str">
        <f>'THONG KE'!B49</f>
        <v xml:space="preserve">Kéo nhỏ NO.S120 </v>
      </c>
      <c r="B44" s="130" t="str">
        <f>'THONG KE'!C49</f>
        <v>cây</v>
      </c>
      <c r="C44" s="151">
        <f>VLOOKUP(A44,'THONG KE'!$B$7:$AC$200,28,0)</f>
        <v>3</v>
      </c>
      <c r="D44" s="101"/>
      <c r="E44" s="101"/>
      <c r="F44" s="101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A44"/>
      <c r="IB44"/>
      <c r="IC44"/>
      <c r="ID44"/>
      <c r="IE44"/>
      <c r="IF44"/>
      <c r="IG44"/>
      <c r="IH44"/>
    </row>
    <row r="45" spans="1:242" ht="19.5" hidden="1" customHeight="1">
      <c r="A45" s="130" t="str">
        <f>'THONG KE'!B50</f>
        <v>Keo Nước Thiên Long Lớn 30Ml</v>
      </c>
      <c r="B45" s="130" t="str">
        <f>'THONG KE'!C50</f>
        <v>lọ</v>
      </c>
      <c r="C45" s="151">
        <f>VLOOKUP(A45,'THONG KE'!$B$7:$AC$200,28,0)</f>
        <v>0</v>
      </c>
      <c r="D45" s="101"/>
      <c r="E45" s="101"/>
      <c r="F45" s="101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G45"/>
      <c r="IH45"/>
    </row>
    <row r="46" spans="1:242" ht="19.5" hidden="1" customHeight="1">
      <c r="A46" s="130" t="str">
        <f>'THONG KE'!B51</f>
        <v>Kéo Suremark-8815</v>
      </c>
      <c r="B46" s="130" t="str">
        <f>'THONG KE'!C51</f>
        <v>cây</v>
      </c>
      <c r="C46" s="151">
        <f>VLOOKUP(A46,'THONG KE'!$B$7:$AC$200,28,0)</f>
        <v>0</v>
      </c>
      <c r="D46" s="101"/>
      <c r="E46" s="101"/>
      <c r="F46" s="101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  <c r="ID46"/>
      <c r="IE46"/>
      <c r="IF46"/>
      <c r="IG46"/>
      <c r="IH46"/>
    </row>
    <row r="47" spans="1:242" ht="19.5" hidden="1" customHeight="1">
      <c r="A47" s="130" t="str">
        <f>'THONG KE'!B52</f>
        <v xml:space="preserve">Kẹp bảng tên </v>
      </c>
      <c r="B47" s="130" t="str">
        <f>'THONG KE'!C52</f>
        <v>cái</v>
      </c>
      <c r="C47" s="151">
        <f>VLOOKUP(A47,'THONG KE'!$B$7:$AC$200,28,0)</f>
        <v>0</v>
      </c>
      <c r="D47" s="101"/>
      <c r="E47" s="101"/>
      <c r="F47" s="101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G47"/>
      <c r="IH47"/>
    </row>
    <row r="48" spans="1:242" ht="19.5" hidden="1" customHeight="1">
      <c r="A48" s="130" t="str">
        <f>'THONG KE'!B53</f>
        <v>Kim Kẹp Giấy Sắt C62</v>
      </c>
      <c r="B48" s="130" t="str">
        <f>'THONG KE'!C53</f>
        <v>hộp</v>
      </c>
      <c r="C48" s="151">
        <f>VLOOKUP(A48,'THONG KE'!$B$7:$AC$200,28,0)</f>
        <v>0</v>
      </c>
      <c r="D48" s="101"/>
      <c r="E48" s="101"/>
      <c r="F48" s="101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G48"/>
      <c r="IH48"/>
    </row>
    <row r="49" spans="1:242" ht="19.5" hidden="1" customHeight="1">
      <c r="A49" s="130" t="str">
        <f>'THONG KE'!B54</f>
        <v>Khăn Trắng</v>
      </c>
      <c r="B49" s="130" t="str">
        <f>'THONG KE'!C54</f>
        <v>cái</v>
      </c>
      <c r="C49" s="151">
        <f>VLOOKUP(A49,'THONG KE'!$B$7:$AC$200,28,0)</f>
        <v>0</v>
      </c>
      <c r="D49" s="101"/>
      <c r="E49" s="101"/>
      <c r="F49" s="101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G49"/>
      <c r="IH49"/>
    </row>
    <row r="50" spans="1:242" ht="19.5" hidden="1" customHeight="1">
      <c r="A50" s="130" t="str">
        <f>'THONG KE'!B55</f>
        <v>Kệ 3 Tầng Mica</v>
      </c>
      <c r="B50" s="130" t="str">
        <f>'THONG KE'!C55</f>
        <v>cái</v>
      </c>
      <c r="C50" s="151">
        <f>VLOOKUP(A50,'THONG KE'!$B$7:$AC$200,28,0)</f>
        <v>0</v>
      </c>
      <c r="D50" s="101"/>
      <c r="E50" s="101"/>
      <c r="F50" s="101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</row>
    <row r="51" spans="1:242" ht="19.5" hidden="1" customHeight="1">
      <c r="A51" s="130" t="str">
        <f>'THONG KE'!B56</f>
        <v>Kệ 2 Tầng Mica</v>
      </c>
      <c r="B51" s="130" t="str">
        <f>'THONG KE'!C56</f>
        <v>cái</v>
      </c>
      <c r="C51" s="151">
        <f>VLOOKUP(A51,'THONG KE'!$B$7:$AC$200,28,0)</f>
        <v>0</v>
      </c>
      <c r="D51" s="101"/>
      <c r="E51" s="101"/>
      <c r="F51" s="10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</row>
    <row r="52" spans="1:242" ht="19.5" customHeight="1">
      <c r="A52" s="130" t="str">
        <f>'THONG KE'!B57</f>
        <v>Kim Bấm 10 Plus</v>
      </c>
      <c r="B52" s="130" t="str">
        <f>'THONG KE'!C57</f>
        <v>hộp</v>
      </c>
      <c r="C52" s="151">
        <f>VLOOKUP(A52,'THONG KE'!$B$7:$AC$200,28,0)</f>
        <v>80</v>
      </c>
      <c r="D52" s="101"/>
      <c r="E52" s="101"/>
      <c r="F52" s="101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</row>
    <row r="53" spans="1:242" ht="19.5" hidden="1" customHeight="1">
      <c r="A53" s="130" t="str">
        <f>'THONG KE'!B58</f>
        <v>Kim Bấm 03 Plus</v>
      </c>
      <c r="B53" s="130" t="str">
        <f>'THONG KE'!C58</f>
        <v>hộp</v>
      </c>
      <c r="C53" s="151">
        <f>VLOOKUP(A53,'THONG KE'!$B$7:$AC$200,28,0)</f>
        <v>0</v>
      </c>
      <c r="D53" s="101"/>
      <c r="E53" s="101"/>
      <c r="F53" s="101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</row>
    <row r="54" spans="1:242" ht="19.5" hidden="1" customHeight="1">
      <c r="A54" s="130" t="str">
        <f>'THONG KE'!B59</f>
        <v xml:space="preserve">Ly nhựa 390ml </v>
      </c>
      <c r="B54" s="130" t="str">
        <f>'THONG KE'!C59</f>
        <v>cái</v>
      </c>
      <c r="C54" s="151">
        <f>VLOOKUP(A54,'THONG KE'!$B$7:$AC$200,28,0)</f>
        <v>0</v>
      </c>
      <c r="D54" s="101"/>
      <c r="E54" s="101"/>
      <c r="F54" s="101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</row>
    <row r="55" spans="1:242" ht="19.5" hidden="1" customHeight="1">
      <c r="A55" s="130" t="str">
        <f>'THONG KE'!B60</f>
        <v>Máy Tính Casio Js-120L/Jf-120</v>
      </c>
      <c r="B55" s="130" t="str">
        <f>'THONG KE'!C60</f>
        <v>cái</v>
      </c>
      <c r="C55" s="151">
        <f>VLOOKUP(A55,'THONG KE'!$B$7:$AC$200,28,0)</f>
        <v>0</v>
      </c>
      <c r="D55" s="101"/>
      <c r="E55" s="101"/>
      <c r="F55" s="101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</row>
    <row r="56" spans="1:242" ht="19.5" hidden="1" customHeight="1">
      <c r="A56" s="130" t="str">
        <f>'THONG KE'!B61</f>
        <v>Mực Viết Lông Dầu Artline (đen)</v>
      </c>
      <c r="B56" s="130" t="str">
        <f>'THONG KE'!C61</f>
        <v>hộp</v>
      </c>
      <c r="C56" s="151">
        <f>VLOOKUP(A56,'THONG KE'!$B$7:$AC$200,28,0)</f>
        <v>0</v>
      </c>
      <c r="D56" s="101"/>
      <c r="E56" s="101"/>
      <c r="F56" s="101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</row>
    <row r="57" spans="1:242" ht="19.5" customHeight="1">
      <c r="A57" s="130" t="str">
        <f>'THONG KE'!B62</f>
        <v>Mực Viết Lông Dầu Artline (đỏ)</v>
      </c>
      <c r="B57" s="130" t="str">
        <f>'THONG KE'!C62</f>
        <v>hộp</v>
      </c>
      <c r="C57" s="151">
        <f>VLOOKUP(A57,'THONG KE'!$B$7:$AC$200,28,0)</f>
        <v>3</v>
      </c>
      <c r="D57" s="101"/>
      <c r="E57" s="101"/>
      <c r="F57" s="101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G57"/>
      <c r="IH57"/>
    </row>
    <row r="58" spans="1:242" ht="19.5" customHeight="1">
      <c r="A58" s="130" t="str">
        <f>'THONG KE'!B63</f>
        <v>Mực Shiny (đỏ)</v>
      </c>
      <c r="B58" s="130" t="str">
        <f>'THONG KE'!C63</f>
        <v>Lọ</v>
      </c>
      <c r="C58" s="151">
        <f>VLOOKUP(A58,'THONG KE'!$B$7:$AC$200,28,0)</f>
        <v>2</v>
      </c>
      <c r="D58" s="101"/>
      <c r="E58" s="101"/>
      <c r="F58" s="101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G58"/>
      <c r="IH58"/>
    </row>
    <row r="59" spans="1:242" ht="19.5" hidden="1" customHeight="1">
      <c r="A59" s="130" t="str">
        <f>'THONG KE'!B64</f>
        <v>Mực viết lông bảng</v>
      </c>
      <c r="B59" s="130" t="str">
        <f>'THONG KE'!C64</f>
        <v>hộp</v>
      </c>
      <c r="C59" s="151">
        <f>VLOOKUP(A59,'THONG KE'!$B$7:$AC$200,28,0)</f>
        <v>0</v>
      </c>
      <c r="D59" s="101"/>
      <c r="E59" s="101"/>
      <c r="F59" s="101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G59"/>
      <c r="IH59"/>
    </row>
    <row r="60" spans="1:242" ht="19.5" customHeight="1">
      <c r="A60" s="130" t="str">
        <f>'THONG KE'!B65</f>
        <v>Nhựa Ép Plastic A4 D9L 80</v>
      </c>
      <c r="B60" s="130" t="str">
        <f>'THONG KE'!C65</f>
        <v>hộp</v>
      </c>
      <c r="C60" s="151">
        <f>VLOOKUP(A60,'THONG KE'!$B$7:$AC$200,28,0)</f>
        <v>1</v>
      </c>
      <c r="D60" s="101"/>
      <c r="E60" s="101"/>
      <c r="F60" s="101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  <c r="HB60"/>
      <c r="HC60"/>
      <c r="HD60"/>
      <c r="HE60"/>
      <c r="HF60"/>
      <c r="HG60"/>
      <c r="HH60"/>
      <c r="HI60"/>
      <c r="HJ60"/>
      <c r="HK60"/>
      <c r="HL60"/>
      <c r="HM60"/>
      <c r="HN60"/>
      <c r="HO60"/>
      <c r="HP60"/>
      <c r="HQ60"/>
      <c r="HR60"/>
      <c r="HS60"/>
      <c r="HT60"/>
      <c r="HU60"/>
      <c r="HV60"/>
      <c r="HW60"/>
      <c r="HX60"/>
      <c r="HY60"/>
      <c r="HZ60"/>
      <c r="IA60"/>
      <c r="IB60"/>
      <c r="IC60"/>
      <c r="ID60"/>
      <c r="IE60"/>
      <c r="IF60"/>
      <c r="IG60"/>
      <c r="IH60"/>
    </row>
    <row r="61" spans="1:242" ht="19.5" hidden="1" customHeight="1">
      <c r="A61" s="130" t="str">
        <f>'THONG KE'!B66</f>
        <v>Nước rửa chén giặt khăn</v>
      </c>
      <c r="B61" s="130" t="str">
        <f>'THONG KE'!C66</f>
        <v>Chai</v>
      </c>
      <c r="C61" s="151">
        <f>VLOOKUP(A61,'THONG KE'!$B$7:$AC$200,28,0)</f>
        <v>0</v>
      </c>
      <c r="D61" s="101"/>
      <c r="E61" s="101"/>
      <c r="F61" s="10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  <c r="HX61"/>
      <c r="HY61"/>
      <c r="HZ61"/>
      <c r="IA61"/>
      <c r="IB61"/>
      <c r="IC61"/>
      <c r="ID61"/>
      <c r="IE61"/>
      <c r="IF61"/>
      <c r="IG61"/>
      <c r="IH61"/>
    </row>
    <row r="62" spans="1:242" ht="19.5" hidden="1" customHeight="1">
      <c r="A62" s="130" t="str">
        <f>'THONG KE'!B67</f>
        <v>Nước tẩy Sumo đa năng 700g</v>
      </c>
      <c r="B62" s="130" t="str">
        <f>'THONG KE'!C67</f>
        <v>chai</v>
      </c>
      <c r="C62" s="151">
        <f>VLOOKUP(A62,'THONG KE'!$B$7:$AC$200,28,0)</f>
        <v>0</v>
      </c>
      <c r="D62" s="101"/>
      <c r="E62" s="101"/>
      <c r="F62" s="101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  <c r="HB62"/>
      <c r="HC62"/>
      <c r="HD62"/>
      <c r="HE62"/>
      <c r="HF62"/>
      <c r="HG62"/>
      <c r="HH62"/>
      <c r="HI62"/>
      <c r="HJ62"/>
      <c r="HK62"/>
      <c r="HL62"/>
      <c r="HM62"/>
      <c r="HN62"/>
      <c r="HO62"/>
      <c r="HP62"/>
      <c r="HQ62"/>
      <c r="HR62"/>
      <c r="HS62"/>
      <c r="HT62"/>
      <c r="HU62"/>
      <c r="HV62"/>
      <c r="HW62"/>
      <c r="HX62"/>
      <c r="HY62"/>
      <c r="HZ62"/>
      <c r="IA62"/>
      <c r="IB62"/>
      <c r="IC62"/>
      <c r="ID62"/>
      <c r="IE62"/>
      <c r="IF62"/>
      <c r="IG62"/>
      <c r="IH62"/>
    </row>
    <row r="63" spans="1:242" ht="19.5" hidden="1" customHeight="1">
      <c r="A63" s="130" t="str">
        <f>'THONG KE'!B68</f>
        <v>Pin Con Ó 2A (thử đồ chơi)</v>
      </c>
      <c r="B63" s="130" t="str">
        <f>'THONG KE'!C68</f>
        <v>cục</v>
      </c>
      <c r="C63" s="151">
        <f>VLOOKUP(A63,'THONG KE'!$B$7:$AC$200,28,0)</f>
        <v>0</v>
      </c>
      <c r="D63" s="101"/>
      <c r="E63" s="101"/>
      <c r="F63" s="101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/>
      <c r="HU63"/>
      <c r="HV63"/>
      <c r="HW63"/>
      <c r="HX63"/>
      <c r="HY63"/>
      <c r="HZ63"/>
      <c r="IA63"/>
      <c r="IB63"/>
      <c r="IC63"/>
      <c r="ID63"/>
      <c r="IE63"/>
      <c r="IF63"/>
      <c r="IG63"/>
      <c r="IH63"/>
    </row>
    <row r="64" spans="1:242" ht="19.5" hidden="1" customHeight="1">
      <c r="A64" s="130" t="str">
        <f>'THONG KE'!B69</f>
        <v>Ruột viết chì 0.5</v>
      </c>
      <c r="B64" s="130" t="str">
        <f>'THONG KE'!C69</f>
        <v>hộp</v>
      </c>
      <c r="C64" s="151">
        <f>VLOOKUP(A64,'THONG KE'!$B$7:$AC$200,28,0)</f>
        <v>0</v>
      </c>
      <c r="D64" s="101"/>
      <c r="E64" s="101"/>
      <c r="F64" s="101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</row>
    <row r="65" spans="1:242" ht="19.5" hidden="1" customHeight="1">
      <c r="A65" s="130" t="str">
        <f>'THONG KE'!B70</f>
        <v>Ruột viết chì 0.7</v>
      </c>
      <c r="B65" s="130" t="str">
        <f>'THONG KE'!C70</f>
        <v>hộp</v>
      </c>
      <c r="C65" s="151">
        <f>VLOOKUP(A65,'THONG KE'!$B$7:$AC$200,28,0)</f>
        <v>0</v>
      </c>
      <c r="D65" s="101"/>
      <c r="E65" s="101"/>
      <c r="F65" s="101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</row>
    <row r="66" spans="1:242" ht="19.5" customHeight="1">
      <c r="A66" s="130" t="str">
        <f>'THONG KE'!B71</f>
        <v>Sáp Đếm Tiền</v>
      </c>
      <c r="B66" s="130" t="str">
        <f>'THONG KE'!C71</f>
        <v>hộp</v>
      </c>
      <c r="C66" s="151">
        <f>VLOOKUP(A66,'THONG KE'!$B$7:$AC$200,28,0)</f>
        <v>2</v>
      </c>
      <c r="D66" s="101"/>
      <c r="E66" s="101"/>
      <c r="F66" s="101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  <c r="HB66"/>
      <c r="HC66"/>
      <c r="HD66"/>
      <c r="HE66"/>
      <c r="HF66"/>
      <c r="HG66"/>
      <c r="HH66"/>
      <c r="HI66"/>
      <c r="HJ66"/>
      <c r="HK66"/>
      <c r="HL66"/>
      <c r="HM66"/>
      <c r="HN66"/>
      <c r="HO66"/>
      <c r="HP66"/>
      <c r="HQ66"/>
      <c r="HR66"/>
      <c r="HS66"/>
      <c r="HT66"/>
      <c r="HU66"/>
      <c r="HV66"/>
      <c r="HW66"/>
      <c r="HX66"/>
      <c r="HY66"/>
      <c r="HZ66"/>
      <c r="IA66"/>
      <c r="IB66"/>
      <c r="IC66"/>
      <c r="ID66"/>
      <c r="IE66"/>
      <c r="IF66"/>
      <c r="IG66"/>
      <c r="IH66"/>
    </row>
    <row r="67" spans="1:242" ht="19.5" hidden="1" customHeight="1">
      <c r="A67" s="130" t="str">
        <f>'THONG KE'!B72</f>
        <v>Sổ Caro 25X35 Dày (cắt đầu)</v>
      </c>
      <c r="B67" s="130" t="str">
        <f>'THONG KE'!C72</f>
        <v>Cuốn</v>
      </c>
      <c r="C67" s="151">
        <f>VLOOKUP(A67,'THONG KE'!$B$7:$AC$200,28,0)</f>
        <v>0</v>
      </c>
      <c r="D67" s="101"/>
      <c r="E67" s="101"/>
      <c r="F67" s="101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  <c r="HB67"/>
      <c r="HC67"/>
      <c r="HD67"/>
      <c r="HE67"/>
      <c r="HF67"/>
      <c r="HG67"/>
      <c r="HH67"/>
      <c r="HI67"/>
      <c r="HJ67"/>
      <c r="HK67"/>
      <c r="HL67"/>
      <c r="HM67"/>
      <c r="HN67"/>
      <c r="HO67"/>
      <c r="HP67"/>
      <c r="HQ67"/>
      <c r="HR67"/>
      <c r="HS67"/>
      <c r="HT67"/>
      <c r="HU67"/>
      <c r="HV67"/>
      <c r="HW67"/>
      <c r="HX67"/>
      <c r="HY67"/>
      <c r="HZ67"/>
      <c r="IA67"/>
      <c r="IB67"/>
      <c r="IC67"/>
      <c r="ID67"/>
      <c r="IE67"/>
      <c r="IF67"/>
      <c r="IG67"/>
      <c r="IH67"/>
    </row>
    <row r="68" spans="1:242" ht="19.5" customHeight="1">
      <c r="A68" s="130" t="str">
        <f>'THONG KE'!B73</f>
        <v>Sổ Caro 30X40 Dày (cắt đầu)</v>
      </c>
      <c r="B68" s="130" t="str">
        <f>'THONG KE'!C73</f>
        <v>Cuốn</v>
      </c>
      <c r="C68" s="151">
        <f>VLOOKUP(A68,'THONG KE'!$B$7:$AC$200,28,0)</f>
        <v>2</v>
      </c>
      <c r="D68" s="101"/>
      <c r="E68" s="101"/>
      <c r="F68" s="101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  <c r="HB68"/>
      <c r="HC68"/>
      <c r="HD68"/>
      <c r="HE68"/>
      <c r="HF68"/>
      <c r="HG68"/>
      <c r="HH68"/>
      <c r="HI68"/>
      <c r="HJ68"/>
      <c r="HK68"/>
      <c r="HL68"/>
      <c r="HM68"/>
      <c r="HN68"/>
      <c r="HO68"/>
      <c r="HP68"/>
      <c r="HQ68"/>
      <c r="HR68"/>
      <c r="HS68"/>
      <c r="HT68"/>
      <c r="HU68"/>
      <c r="HV68"/>
      <c r="HW68"/>
      <c r="HX68"/>
      <c r="HY68"/>
      <c r="HZ68"/>
      <c r="IA68"/>
      <c r="IB68"/>
      <c r="IC68"/>
      <c r="ID68"/>
      <c r="IE68"/>
      <c r="IF68"/>
      <c r="IG68"/>
      <c r="IH68"/>
    </row>
    <row r="69" spans="1:242" ht="19.5" hidden="1" customHeight="1">
      <c r="A69" s="130" t="str">
        <f>'THONG KE'!B74</f>
        <v>Sổ ghi nhật ký (sổ trung cắt sẵn)</v>
      </c>
      <c r="B69" s="130" t="str">
        <f>'THONG KE'!C74</f>
        <v>Cuốn</v>
      </c>
      <c r="C69" s="151">
        <f>VLOOKUP(A69,'THONG KE'!$B$7:$AC$200,28,0)</f>
        <v>0</v>
      </c>
      <c r="D69" s="101"/>
      <c r="E69" s="101"/>
      <c r="F69" s="101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  <c r="HB69"/>
      <c r="HC69"/>
      <c r="HD69"/>
      <c r="HE69"/>
      <c r="HF69"/>
      <c r="HG69"/>
      <c r="HH69"/>
      <c r="HI69"/>
      <c r="HJ69"/>
      <c r="HK69"/>
      <c r="HL69"/>
      <c r="HM69"/>
      <c r="HN69"/>
      <c r="HO69"/>
      <c r="HP69"/>
      <c r="HQ69"/>
      <c r="HR69"/>
      <c r="HS69"/>
      <c r="HT69"/>
      <c r="HU69"/>
      <c r="HV69"/>
      <c r="HW69"/>
      <c r="HX69"/>
      <c r="HY69"/>
      <c r="HZ69"/>
      <c r="IA69"/>
      <c r="IB69"/>
      <c r="IC69"/>
      <c r="ID69"/>
      <c r="IE69"/>
      <c r="IF69"/>
      <c r="IG69"/>
      <c r="IH69"/>
    </row>
    <row r="70" spans="1:242" ht="19.5" hidden="1" customHeight="1">
      <c r="A70" s="130" t="str">
        <f>'THONG KE'!B75</f>
        <v xml:space="preserve">Tập 100 Trang </v>
      </c>
      <c r="B70" s="130" t="str">
        <f>'THONG KE'!C75</f>
        <v>cuốn</v>
      </c>
      <c r="C70" s="151">
        <f>VLOOKUP(A70,'THONG KE'!$B$7:$AC$200,28,0)</f>
        <v>0</v>
      </c>
      <c r="D70" s="101"/>
      <c r="E70" s="101"/>
      <c r="F70" s="101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  <c r="HB70"/>
      <c r="HC70"/>
      <c r="HD70"/>
      <c r="HE70"/>
      <c r="HF70"/>
      <c r="HG70"/>
      <c r="HH70"/>
      <c r="HI70"/>
      <c r="HJ70"/>
      <c r="HK70"/>
      <c r="HL70"/>
      <c r="HM70"/>
      <c r="HN70"/>
      <c r="HO70"/>
      <c r="HP70"/>
      <c r="HQ70"/>
      <c r="HR70"/>
      <c r="HS70"/>
      <c r="HT70"/>
      <c r="HU70"/>
      <c r="HV70"/>
      <c r="HW70"/>
      <c r="HX70"/>
      <c r="HY70"/>
      <c r="HZ70"/>
      <c r="IA70"/>
      <c r="IB70"/>
      <c r="IC70"/>
      <c r="ID70"/>
      <c r="IE70"/>
      <c r="IF70"/>
      <c r="IG70"/>
      <c r="IH70"/>
    </row>
    <row r="71" spans="1:242" ht="19.5" hidden="1" customHeight="1">
      <c r="A71" s="130" t="str">
        <f>'THONG KE'!B76</f>
        <v>Tập  200 trang</v>
      </c>
      <c r="B71" s="130" t="str">
        <f>'THONG KE'!C76</f>
        <v>cuốn</v>
      </c>
      <c r="C71" s="151">
        <f>VLOOKUP(A71,'THONG KE'!$B$7:$AC$200,28,0)</f>
        <v>0</v>
      </c>
      <c r="D71" s="101"/>
      <c r="E71" s="101"/>
      <c r="F71" s="10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  <c r="HB71"/>
      <c r="HC71"/>
      <c r="HD71"/>
      <c r="HE71"/>
      <c r="HF71"/>
      <c r="HG71"/>
      <c r="HH71"/>
      <c r="HI71"/>
      <c r="HJ71"/>
      <c r="HK71"/>
      <c r="HL71"/>
      <c r="HM71"/>
      <c r="HN71"/>
      <c r="HO71"/>
      <c r="HP71"/>
      <c r="HQ71"/>
      <c r="HR71"/>
      <c r="HS71"/>
      <c r="HT71"/>
      <c r="HU71"/>
      <c r="HV71"/>
      <c r="HW71"/>
      <c r="HX71"/>
      <c r="HY71"/>
      <c r="HZ71"/>
      <c r="IA71"/>
      <c r="IB71"/>
      <c r="IC71"/>
      <c r="ID71"/>
      <c r="IE71"/>
      <c r="IF71"/>
      <c r="IG71"/>
      <c r="IH71"/>
    </row>
    <row r="72" spans="1:242" ht="19.5" hidden="1" customHeight="1">
      <c r="A72" s="130" t="str">
        <f>'THONG KE'!B77</f>
        <v>Viết Lông Dầu Artline 700 (đỏ)</v>
      </c>
      <c r="B72" s="130" t="str">
        <f>'THONG KE'!C77</f>
        <v>cây</v>
      </c>
      <c r="C72" s="151">
        <f>VLOOKUP(A72,'THONG KE'!$B$7:$AC$200,28,0)</f>
        <v>0</v>
      </c>
      <c r="D72" s="101"/>
      <c r="E72" s="101"/>
      <c r="F72" s="101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  <c r="HB72"/>
      <c r="HC72"/>
      <c r="HD72"/>
      <c r="HE72"/>
      <c r="HF72"/>
      <c r="HG72"/>
      <c r="HH72"/>
      <c r="HI72"/>
      <c r="HJ72"/>
      <c r="HK72"/>
      <c r="HL72"/>
      <c r="HM72"/>
      <c r="HN72"/>
      <c r="HO72"/>
      <c r="HP72"/>
      <c r="HQ72"/>
      <c r="HR72"/>
      <c r="HS72"/>
      <c r="HT72"/>
      <c r="HU72"/>
      <c r="HV72"/>
      <c r="HW72"/>
      <c r="HX72"/>
      <c r="HY72"/>
      <c r="HZ72"/>
      <c r="IA72"/>
      <c r="IB72"/>
      <c r="IC72"/>
      <c r="ID72"/>
      <c r="IE72"/>
      <c r="IF72"/>
      <c r="IG72"/>
      <c r="IH72"/>
    </row>
    <row r="73" spans="1:242" ht="19.5" customHeight="1">
      <c r="A73" s="130" t="str">
        <f>'THONG KE'!B78</f>
        <v>Viết Lông Dầu Artline 700 (đen)</v>
      </c>
      <c r="B73" s="130" t="str">
        <f>'THONG KE'!C78</f>
        <v>cây</v>
      </c>
      <c r="C73" s="151">
        <f>VLOOKUP(A73,'THONG KE'!$B$7:$AC$200,28,0)</f>
        <v>3</v>
      </c>
      <c r="D73" s="101"/>
      <c r="E73" s="101"/>
      <c r="F73" s="101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  <c r="HB73"/>
      <c r="HC73"/>
      <c r="HD73"/>
      <c r="HE73"/>
      <c r="HF73"/>
      <c r="HG73"/>
      <c r="HH73"/>
      <c r="HI73"/>
      <c r="HJ73"/>
      <c r="HK73"/>
      <c r="HL73"/>
      <c r="HM73"/>
      <c r="HN73"/>
      <c r="HO73"/>
      <c r="HP73"/>
      <c r="HQ73"/>
      <c r="HR73"/>
      <c r="HS73"/>
      <c r="HT73"/>
      <c r="HU73"/>
      <c r="HV73"/>
      <c r="HW73"/>
      <c r="HX73"/>
      <c r="HY73"/>
      <c r="HZ73"/>
      <c r="IA73"/>
      <c r="IB73"/>
      <c r="IC73"/>
      <c r="ID73"/>
      <c r="IE73"/>
      <c r="IF73"/>
      <c r="IG73"/>
      <c r="IH73"/>
    </row>
    <row r="74" spans="1:242" ht="19.5" customHeight="1">
      <c r="A74" s="130" t="str">
        <f>'THONG KE'!B79</f>
        <v>Viết Lông Dầu Artline 725 (đen)</v>
      </c>
      <c r="B74" s="130" t="str">
        <f>'THONG KE'!C79</f>
        <v>cây</v>
      </c>
      <c r="C74" s="151">
        <f>VLOOKUP(A74,'THONG KE'!$B$7:$AC$200,28,0)</f>
        <v>3</v>
      </c>
      <c r="D74" s="101"/>
      <c r="E74" s="101"/>
      <c r="F74" s="101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  <c r="HB74"/>
      <c r="HC74"/>
      <c r="HD74"/>
      <c r="HE74"/>
      <c r="HF74"/>
      <c r="HG74"/>
      <c r="HH74"/>
      <c r="HI74"/>
      <c r="HJ74"/>
      <c r="HK74"/>
      <c r="HL74"/>
      <c r="HM74"/>
      <c r="HN74"/>
      <c r="HO74"/>
      <c r="HP74"/>
      <c r="HQ74"/>
      <c r="HR74"/>
      <c r="HS74"/>
      <c r="HT74"/>
      <c r="HU74"/>
      <c r="HV74"/>
      <c r="HW74"/>
      <c r="HX74"/>
      <c r="HY74"/>
      <c r="HZ74"/>
      <c r="IA74"/>
      <c r="IB74"/>
      <c r="IC74"/>
      <c r="ID74"/>
      <c r="IE74"/>
      <c r="IF74"/>
      <c r="IG74"/>
      <c r="IH74"/>
    </row>
    <row r="75" spans="1:242" ht="19.5" hidden="1" customHeight="1">
      <c r="A75" s="130" t="str">
        <f>'THONG KE'!B80</f>
        <v>Viết Lông Dầu Artline 725 (đỏ)</v>
      </c>
      <c r="B75" s="130" t="str">
        <f>'THONG KE'!C80</f>
        <v>cây</v>
      </c>
      <c r="C75" s="151">
        <f>VLOOKUP(A75,'THONG KE'!$B$7:$AC$200,28,0)</f>
        <v>0</v>
      </c>
      <c r="D75" s="101"/>
      <c r="E75" s="101"/>
      <c r="F75" s="101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  <c r="HB75"/>
      <c r="HC75"/>
      <c r="HD75"/>
      <c r="HE75"/>
      <c r="HF75"/>
      <c r="HG75"/>
      <c r="HH75"/>
      <c r="HI75"/>
      <c r="HJ75"/>
      <c r="HK75"/>
      <c r="HL75"/>
      <c r="HM75"/>
      <c r="HN75"/>
      <c r="HO75"/>
      <c r="HP75"/>
      <c r="HQ75"/>
      <c r="HR75"/>
      <c r="HS75"/>
      <c r="HT75"/>
      <c r="HU75"/>
      <c r="HV75"/>
      <c r="HW75"/>
      <c r="HX75"/>
      <c r="HY75"/>
      <c r="HZ75"/>
      <c r="IA75"/>
      <c r="IB75"/>
      <c r="IC75"/>
      <c r="ID75"/>
      <c r="IE75"/>
      <c r="IF75"/>
      <c r="IG75"/>
      <c r="IH75"/>
    </row>
    <row r="76" spans="1:242" ht="19.5" customHeight="1">
      <c r="A76" s="130" t="str">
        <f>'THONG KE'!B81</f>
        <v>Viết Lông Dầu Artline 90 (đen)</v>
      </c>
      <c r="B76" s="130" t="str">
        <f>'THONG KE'!C81</f>
        <v>cây</v>
      </c>
      <c r="C76" s="151">
        <f>VLOOKUP(A76,'THONG KE'!$B$7:$AC$200,28,0)</f>
        <v>2</v>
      </c>
      <c r="D76" s="101"/>
      <c r="E76" s="101"/>
      <c r="F76" s="101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  <c r="HB76"/>
      <c r="HC76"/>
      <c r="HD76"/>
      <c r="HE76"/>
      <c r="HF76"/>
      <c r="HG76"/>
      <c r="HH76"/>
      <c r="HI76"/>
      <c r="HJ76"/>
      <c r="HK76"/>
      <c r="HL76"/>
      <c r="HM76"/>
      <c r="HN76"/>
      <c r="HO76"/>
      <c r="HP76"/>
      <c r="HQ76"/>
      <c r="HR76"/>
      <c r="HS76"/>
      <c r="HT76"/>
      <c r="HU76"/>
      <c r="HV76"/>
      <c r="HW76"/>
      <c r="HX76"/>
      <c r="HY76"/>
      <c r="HZ76"/>
      <c r="IA76"/>
      <c r="IB76"/>
      <c r="IC76"/>
      <c r="ID76"/>
      <c r="IE76"/>
      <c r="IF76"/>
      <c r="IG76"/>
      <c r="IH76"/>
    </row>
    <row r="77" spans="1:242" ht="19.5" hidden="1" customHeight="1">
      <c r="A77" s="130" t="str">
        <f>'THONG KE'!B82</f>
        <v>Viết Lông Dầu Artline 90 (đỏ)</v>
      </c>
      <c r="B77" s="130" t="str">
        <f>'THONG KE'!C82</f>
        <v>cây</v>
      </c>
      <c r="C77" s="151">
        <f>VLOOKUP(A77,'THONG KE'!$B$7:$AC$200,28,0)</f>
        <v>0</v>
      </c>
      <c r="D77" s="101"/>
      <c r="E77" s="101"/>
      <c r="F77" s="101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  <c r="HB77"/>
      <c r="HC77"/>
      <c r="HD77"/>
      <c r="HE77"/>
      <c r="HF77"/>
      <c r="HG77"/>
      <c r="HH77"/>
      <c r="HI77"/>
      <c r="HJ77"/>
      <c r="HK77"/>
      <c r="HL77"/>
      <c r="HM77"/>
      <c r="HN77"/>
      <c r="HO77"/>
      <c r="HP77"/>
      <c r="HQ77"/>
      <c r="HR77"/>
      <c r="HS77"/>
      <c r="HT77"/>
      <c r="HU77"/>
      <c r="HV77"/>
      <c r="HW77"/>
      <c r="HX77"/>
      <c r="HY77"/>
      <c r="HZ77"/>
      <c r="IA77"/>
      <c r="IB77"/>
      <c r="IC77"/>
      <c r="ID77"/>
      <c r="IE77"/>
      <c r="IF77"/>
      <c r="IG77"/>
      <c r="IH77"/>
    </row>
    <row r="78" spans="1:242" ht="19.5" hidden="1" customHeight="1">
      <c r="A78" s="130" t="str">
        <f>'THONG KE'!B83</f>
        <v>Viết Bic Thiên Long 027 (đỏ)</v>
      </c>
      <c r="B78" s="130" t="str">
        <f>'THONG KE'!C83</f>
        <v>cây</v>
      </c>
      <c r="C78" s="151">
        <f>VLOOKUP(A78,'THONG KE'!$B$7:$AC$200,28,0)</f>
        <v>0</v>
      </c>
      <c r="D78" s="101"/>
      <c r="E78" s="101"/>
      <c r="F78" s="101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  <c r="HB78"/>
      <c r="HC78"/>
      <c r="HD78"/>
      <c r="HE78"/>
      <c r="HF78"/>
      <c r="HG78"/>
      <c r="HH78"/>
      <c r="HI78"/>
      <c r="HJ78"/>
      <c r="HK78"/>
      <c r="HL78"/>
      <c r="HM78"/>
      <c r="HN78"/>
      <c r="HO78"/>
      <c r="HP78"/>
      <c r="HQ78"/>
      <c r="HR78"/>
      <c r="HS78"/>
      <c r="HT78"/>
      <c r="HU78"/>
      <c r="HV78"/>
      <c r="HW78"/>
      <c r="HX78"/>
      <c r="HY78"/>
      <c r="HZ78"/>
      <c r="IA78"/>
      <c r="IB78"/>
      <c r="IC78"/>
      <c r="ID78"/>
      <c r="IE78"/>
      <c r="IF78"/>
      <c r="IG78"/>
      <c r="IH78"/>
    </row>
    <row r="79" spans="1:242" ht="19.5" hidden="1" customHeight="1">
      <c r="A79" s="130" t="str">
        <f>'THONG KE'!B84</f>
        <v>Viết Bic Thiên Long 027 (xanh)</v>
      </c>
      <c r="B79" s="130" t="str">
        <f>'THONG KE'!C84</f>
        <v>cây</v>
      </c>
      <c r="C79" s="151">
        <f>VLOOKUP(A79,'THONG KE'!$B$7:$AC$200,28,0)</f>
        <v>0</v>
      </c>
      <c r="D79" s="101"/>
      <c r="E79" s="101"/>
      <c r="F79" s="101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  <c r="HB79"/>
      <c r="HC79"/>
      <c r="HD79"/>
      <c r="HE79"/>
      <c r="HF79"/>
      <c r="HG79"/>
      <c r="HH79"/>
      <c r="HI79"/>
      <c r="HJ79"/>
      <c r="HK79"/>
      <c r="HL79"/>
      <c r="HM79"/>
      <c r="HN79"/>
      <c r="HO79"/>
      <c r="HP79"/>
      <c r="HQ79"/>
      <c r="HR79"/>
      <c r="HS79"/>
      <c r="HT79"/>
      <c r="HU79"/>
      <c r="HV79"/>
      <c r="HW79"/>
      <c r="HX79"/>
      <c r="HY79"/>
      <c r="HZ79"/>
      <c r="IA79"/>
      <c r="IB79"/>
      <c r="IC79"/>
      <c r="ID79"/>
      <c r="IE79"/>
      <c r="IF79"/>
      <c r="IG79"/>
      <c r="IH79"/>
    </row>
    <row r="80" spans="1:242" ht="19.5" hidden="1" customHeight="1">
      <c r="A80" s="130" t="str">
        <f>'THONG KE'!B85</f>
        <v>Viết Chì 2B Thiên Long</v>
      </c>
      <c r="B80" s="130" t="str">
        <f>'THONG KE'!C85</f>
        <v>cây</v>
      </c>
      <c r="C80" s="151">
        <f>VLOOKUP(A80,'THONG KE'!$B$7:$AC$200,28,0)</f>
        <v>0</v>
      </c>
      <c r="D80" s="101"/>
      <c r="E80" s="101"/>
      <c r="F80" s="101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  <c r="HB80"/>
      <c r="HC80"/>
      <c r="HD80"/>
      <c r="HE80"/>
      <c r="HF80"/>
      <c r="HG80"/>
      <c r="HH80"/>
      <c r="HI80"/>
      <c r="HJ80"/>
      <c r="HK80"/>
      <c r="HL80"/>
      <c r="HM80"/>
      <c r="HN80"/>
      <c r="HO80"/>
      <c r="HP80"/>
      <c r="HQ80"/>
      <c r="HR80"/>
      <c r="HS80"/>
      <c r="HT80"/>
      <c r="HU80"/>
      <c r="HV80"/>
      <c r="HW80"/>
      <c r="HX80"/>
      <c r="HY80"/>
      <c r="HZ80"/>
      <c r="IA80"/>
      <c r="IB80"/>
      <c r="IC80"/>
      <c r="ID80"/>
      <c r="IE80"/>
      <c r="IF80"/>
      <c r="IG80"/>
      <c r="IH80"/>
    </row>
    <row r="81" spans="1:242" ht="19.5" hidden="1" customHeight="1">
      <c r="A81" s="130" t="str">
        <f>'THONG KE'!B86</f>
        <v>Viết Chì Kim 0.5</v>
      </c>
      <c r="B81" s="130" t="str">
        <f>'THONG KE'!C86</f>
        <v>cây</v>
      </c>
      <c r="C81" s="151">
        <f>VLOOKUP(A81,'THONG KE'!$B$7:$AC$200,28,0)</f>
        <v>0</v>
      </c>
      <c r="D81" s="101"/>
      <c r="E81" s="101"/>
      <c r="F81" s="10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  <c r="HB81"/>
      <c r="HC81"/>
      <c r="HD81"/>
      <c r="HE81"/>
      <c r="HF81"/>
      <c r="HG81"/>
      <c r="HH81"/>
      <c r="HI81"/>
      <c r="HJ81"/>
      <c r="HK81"/>
      <c r="HL81"/>
      <c r="HM81"/>
      <c r="HN81"/>
      <c r="HO81"/>
      <c r="HP81"/>
      <c r="HQ81"/>
      <c r="HR81"/>
      <c r="HS81"/>
      <c r="HT81"/>
      <c r="HU81"/>
      <c r="HV81"/>
      <c r="HW81"/>
      <c r="HX81"/>
      <c r="HY81"/>
      <c r="HZ81"/>
      <c r="IA81"/>
      <c r="IB81"/>
      <c r="IC81"/>
      <c r="ID81"/>
      <c r="IE81"/>
      <c r="IF81"/>
      <c r="IG81"/>
      <c r="IH81"/>
    </row>
    <row r="82" spans="1:242" ht="19.5" hidden="1" customHeight="1">
      <c r="A82" s="130" t="str">
        <f>'THONG KE'!B87</f>
        <v>Viết Chì Kim 0.7</v>
      </c>
      <c r="B82" s="130" t="str">
        <f>'THONG KE'!C87</f>
        <v>cây</v>
      </c>
      <c r="C82" s="151">
        <f>VLOOKUP(A82,'THONG KE'!$B$7:$AC$200,28,0)</f>
        <v>0</v>
      </c>
      <c r="D82" s="101"/>
      <c r="E82" s="101"/>
      <c r="F82" s="101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  <c r="HB82"/>
      <c r="HC82"/>
      <c r="HD82"/>
      <c r="HE82"/>
      <c r="HF82"/>
      <c r="HG82"/>
      <c r="HH82"/>
      <c r="HI82"/>
      <c r="HJ82"/>
      <c r="HK82"/>
      <c r="HL82"/>
      <c r="HM82"/>
      <c r="HN82"/>
      <c r="HO82"/>
      <c r="HP82"/>
      <c r="HQ82"/>
      <c r="HR82"/>
      <c r="HS82"/>
      <c r="HT82"/>
      <c r="HU82"/>
      <c r="HV82"/>
      <c r="HW82"/>
      <c r="HX82"/>
      <c r="HY82"/>
      <c r="HZ82"/>
      <c r="IA82"/>
      <c r="IB82"/>
      <c r="IC82"/>
      <c r="ID82"/>
      <c r="IE82"/>
      <c r="IF82"/>
      <c r="IG82"/>
      <c r="IH82"/>
    </row>
    <row r="83" spans="1:242" ht="19.5" hidden="1" customHeight="1">
      <c r="A83" s="130" t="str">
        <f>'THONG KE'!B88</f>
        <v>Viết dạ quang hồng</v>
      </c>
      <c r="B83" s="130" t="str">
        <f>'THONG KE'!C88</f>
        <v>Cây</v>
      </c>
      <c r="C83" s="151">
        <f>VLOOKUP(A83,'THONG KE'!$B$7:$AC$200,28,0)</f>
        <v>0</v>
      </c>
      <c r="D83" s="101"/>
      <c r="E83" s="101"/>
      <c r="F83" s="101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  <c r="HB83"/>
      <c r="HC83"/>
      <c r="HD83"/>
      <c r="HE83"/>
      <c r="HF83"/>
      <c r="HG83"/>
      <c r="HH83"/>
      <c r="HI83"/>
      <c r="HJ83"/>
      <c r="HK83"/>
      <c r="HL83"/>
      <c r="HM83"/>
      <c r="HN83"/>
      <c r="HO83"/>
      <c r="HP83"/>
      <c r="HQ83"/>
      <c r="HR83"/>
      <c r="HS83"/>
      <c r="HT83"/>
      <c r="HU83"/>
      <c r="HV83"/>
      <c r="HW83"/>
      <c r="HX83"/>
      <c r="HY83"/>
      <c r="HZ83"/>
      <c r="IA83"/>
      <c r="IB83"/>
      <c r="IC83"/>
      <c r="ID83"/>
      <c r="IE83"/>
      <c r="IF83"/>
      <c r="IG83"/>
      <c r="IH83"/>
    </row>
    <row r="84" spans="1:242" ht="19.5" hidden="1" customHeight="1">
      <c r="A84" s="130" t="str">
        <f>'THONG KE'!B89</f>
        <v>Viết dạ quang vàng</v>
      </c>
      <c r="B84" s="130" t="str">
        <f>'THONG KE'!C89</f>
        <v>Cây</v>
      </c>
      <c r="C84" s="151">
        <f>VLOOKUP(A84,'THONG KE'!$B$7:$AC$200,28,0)</f>
        <v>0</v>
      </c>
      <c r="D84" s="101"/>
      <c r="E84" s="101"/>
      <c r="F84" s="101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  <c r="HB84"/>
      <c r="HC84"/>
      <c r="HD84"/>
      <c r="HE84"/>
      <c r="HF84"/>
      <c r="HG84"/>
      <c r="HH84"/>
      <c r="HI84"/>
      <c r="HJ84"/>
      <c r="HK84"/>
      <c r="HL84"/>
      <c r="HM84"/>
      <c r="HN84"/>
      <c r="HO84"/>
      <c r="HP84"/>
      <c r="HQ84"/>
      <c r="HR84"/>
      <c r="HS84"/>
      <c r="HT84"/>
      <c r="HU84"/>
      <c r="HV84"/>
      <c r="HW84"/>
      <c r="HX84"/>
      <c r="HY84"/>
      <c r="HZ84"/>
      <c r="IA84"/>
      <c r="IB84"/>
      <c r="IC84"/>
      <c r="ID84"/>
      <c r="IE84"/>
      <c r="IF84"/>
      <c r="IG84"/>
      <c r="IH84"/>
    </row>
    <row r="85" spans="1:242" ht="19.5" hidden="1" customHeight="1">
      <c r="A85" s="130" t="str">
        <f>'THONG KE'!B90</f>
        <v>Viết dây để bàn đôi Bến nghé</v>
      </c>
      <c r="B85" s="130" t="str">
        <f>'THONG KE'!C90</f>
        <v>bộ</v>
      </c>
      <c r="C85" s="151">
        <f>VLOOKUP(A85,'THONG KE'!$B$7:$AC$200,28,0)</f>
        <v>0</v>
      </c>
      <c r="D85" s="101"/>
      <c r="E85" s="101"/>
      <c r="F85" s="101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  <c r="HB85"/>
      <c r="HC85"/>
      <c r="HD85"/>
      <c r="HE85"/>
      <c r="HF85"/>
      <c r="HG85"/>
      <c r="HH85"/>
      <c r="HI85"/>
      <c r="HJ85"/>
      <c r="HK85"/>
      <c r="HL85"/>
      <c r="HM85"/>
      <c r="HN85"/>
      <c r="HO85"/>
      <c r="HP85"/>
      <c r="HQ85"/>
      <c r="HR85"/>
      <c r="HS85"/>
      <c r="HT85"/>
      <c r="HU85"/>
      <c r="HV85"/>
      <c r="HW85"/>
      <c r="HX85"/>
      <c r="HY85"/>
      <c r="HZ85"/>
      <c r="IA85"/>
      <c r="IB85"/>
      <c r="IC85"/>
      <c r="ID85"/>
      <c r="IE85"/>
      <c r="IF85"/>
      <c r="IG85"/>
      <c r="IH85"/>
    </row>
    <row r="86" spans="1:242" ht="19.5" hidden="1" customHeight="1">
      <c r="A86" s="130" t="str">
        <f>'THONG KE'!B91</f>
        <v>Viết dây để bàn đơn Bến nghé</v>
      </c>
      <c r="B86" s="130" t="str">
        <f>'THONG KE'!C91</f>
        <v>hộp</v>
      </c>
      <c r="C86" s="151">
        <f>VLOOKUP(A86,'THONG KE'!$B$7:$AC$200,28,0)</f>
        <v>0</v>
      </c>
      <c r="D86" s="101"/>
      <c r="E86" s="101"/>
      <c r="F86" s="101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  <c r="HB86"/>
      <c r="HC86"/>
      <c r="HD86"/>
      <c r="HE86"/>
      <c r="HF86"/>
      <c r="HG86"/>
      <c r="HH86"/>
      <c r="HI86"/>
      <c r="HJ86"/>
      <c r="HK86"/>
      <c r="HL86"/>
      <c r="HM86"/>
      <c r="HN86"/>
      <c r="HO86"/>
      <c r="HP86"/>
      <c r="HQ86"/>
      <c r="HR86"/>
      <c r="HS86"/>
      <c r="HT86"/>
      <c r="HU86"/>
      <c r="HV86"/>
      <c r="HW86"/>
      <c r="HX86"/>
      <c r="HY86"/>
      <c r="HZ86"/>
      <c r="IA86"/>
      <c r="IB86"/>
      <c r="IC86"/>
      <c r="ID86"/>
      <c r="IE86"/>
      <c r="IF86"/>
      <c r="IG86"/>
      <c r="IH86"/>
    </row>
    <row r="87" spans="1:242" ht="19.5" hidden="1" customHeight="1">
      <c r="A87" s="130" t="str">
        <f>'THONG KE'!B92</f>
        <v>Viết dây để bàn đơn Bến nghé</v>
      </c>
      <c r="B87" s="130" t="str">
        <f>'THONG KE'!C92</f>
        <v>hộp</v>
      </c>
      <c r="C87" s="151">
        <f>VLOOKUP(A87,'THONG KE'!$B$7:$AC$200,28,0)</f>
        <v>0</v>
      </c>
      <c r="D87" s="101"/>
      <c r="E87" s="101"/>
      <c r="F87" s="101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  <c r="HB87"/>
      <c r="HC87"/>
      <c r="HD87"/>
      <c r="HE87"/>
      <c r="HF87"/>
      <c r="HG87"/>
      <c r="HH87"/>
      <c r="HI87"/>
      <c r="HJ87"/>
      <c r="HK87"/>
      <c r="HL87"/>
      <c r="HM87"/>
      <c r="HN87"/>
      <c r="HO87"/>
      <c r="HP87"/>
      <c r="HQ87"/>
      <c r="HR87"/>
      <c r="HS87"/>
      <c r="HT87"/>
      <c r="HU87"/>
      <c r="HV87"/>
      <c r="HW87"/>
      <c r="HX87"/>
      <c r="HY87"/>
      <c r="HZ87"/>
      <c r="IA87"/>
      <c r="IB87"/>
      <c r="IC87"/>
      <c r="ID87"/>
      <c r="IE87"/>
      <c r="IF87"/>
      <c r="IG87"/>
      <c r="IH87"/>
    </row>
    <row r="88" spans="1:242" ht="19.5" hidden="1" customHeight="1">
      <c r="A88" s="130" t="str">
        <f>'THONG KE'!B93</f>
        <v>Viết dây để bàn đơn Bến nghé</v>
      </c>
      <c r="B88" s="130" t="str">
        <f>'THONG KE'!C93</f>
        <v>hộp</v>
      </c>
      <c r="C88" s="151">
        <f>VLOOKUP(A88,'THONG KE'!$B$7:$AC$200,28,0)</f>
        <v>0</v>
      </c>
      <c r="D88" s="101"/>
      <c r="E88" s="101"/>
      <c r="F88" s="101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  <c r="HB88"/>
      <c r="HC88"/>
      <c r="HD88"/>
      <c r="HE88"/>
      <c r="HF88"/>
      <c r="HG88"/>
      <c r="HH88"/>
      <c r="HI88"/>
      <c r="HJ88"/>
      <c r="HK88"/>
      <c r="HL88"/>
      <c r="HM88"/>
      <c r="HN88"/>
      <c r="HO88"/>
      <c r="HP88"/>
      <c r="HQ88"/>
      <c r="HR88"/>
      <c r="HS88"/>
      <c r="HT88"/>
      <c r="HU88"/>
      <c r="HV88"/>
      <c r="HW88"/>
      <c r="HX88"/>
      <c r="HY88"/>
      <c r="HZ88"/>
      <c r="IA88"/>
      <c r="IB88"/>
      <c r="IC88"/>
      <c r="ID88"/>
      <c r="IE88"/>
      <c r="IF88"/>
      <c r="IG88"/>
      <c r="IH88"/>
    </row>
    <row r="89" spans="1:242" ht="19.5" hidden="1" customHeight="1">
      <c r="A89" s="130" t="str">
        <f>'THONG KE'!B94</f>
        <v>Viết để bàn Thiên Long</v>
      </c>
      <c r="B89" s="130" t="str">
        <f>'THONG KE'!C94</f>
        <v>cây</v>
      </c>
      <c r="C89" s="151">
        <f>VLOOKUP(A89,'THONG KE'!$B$7:$AC$200,28,0)</f>
        <v>0</v>
      </c>
      <c r="D89" s="101"/>
      <c r="E89" s="101"/>
      <c r="F89" s="101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  <c r="HB89"/>
      <c r="HC89"/>
      <c r="HD89"/>
      <c r="HE89"/>
      <c r="HF89"/>
      <c r="HG89"/>
      <c r="HH89"/>
      <c r="HI89"/>
      <c r="HJ89"/>
      <c r="HK89"/>
      <c r="HL89"/>
      <c r="HM89"/>
      <c r="HN89"/>
      <c r="HO89"/>
      <c r="HP89"/>
      <c r="HQ89"/>
      <c r="HR89"/>
      <c r="HS89"/>
      <c r="HT89"/>
      <c r="HU89"/>
      <c r="HV89"/>
      <c r="HW89"/>
      <c r="HX89"/>
      <c r="HY89"/>
      <c r="HZ89"/>
      <c r="IA89"/>
      <c r="IB89"/>
      <c r="IC89"/>
      <c r="ID89"/>
      <c r="IE89"/>
      <c r="IF89"/>
      <c r="IG89"/>
      <c r="IH89"/>
    </row>
    <row r="90" spans="1:242" ht="19.5" hidden="1" customHeight="1">
      <c r="A90" s="130" t="str">
        <f>'THONG KE'!B95</f>
        <v>Viết lông bảng Maker đỏ</v>
      </c>
      <c r="B90" s="130" t="str">
        <f>'THONG KE'!C95</f>
        <v>Cây</v>
      </c>
      <c r="C90" s="151">
        <f>VLOOKUP(A90,'THONG KE'!$B$7:$AC$200,28,0)</f>
        <v>0</v>
      </c>
      <c r="D90" s="101"/>
      <c r="E90" s="101"/>
      <c r="F90" s="101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  <c r="HB90"/>
      <c r="HC90"/>
      <c r="HD90"/>
      <c r="HE90"/>
      <c r="HF90"/>
      <c r="HG90"/>
      <c r="HH90"/>
      <c r="HI90"/>
      <c r="HJ90"/>
      <c r="HK90"/>
      <c r="HL90"/>
      <c r="HM90"/>
      <c r="HN90"/>
      <c r="HO90"/>
      <c r="HP90"/>
      <c r="HQ90"/>
      <c r="HR90"/>
      <c r="HS90"/>
      <c r="HT90"/>
      <c r="HU90"/>
      <c r="HV90"/>
      <c r="HW90"/>
      <c r="HX90"/>
      <c r="HY90"/>
      <c r="HZ90"/>
      <c r="IA90"/>
      <c r="IB90"/>
      <c r="IC90"/>
      <c r="ID90"/>
      <c r="IE90"/>
      <c r="IF90"/>
      <c r="IG90"/>
      <c r="IH90"/>
    </row>
    <row r="91" spans="1:242" ht="19.5" hidden="1" customHeight="1">
      <c r="A91" s="130" t="str">
        <f>'THONG KE'!B96</f>
        <v>Viết Lông Dầu Apolo 777 (đỏ)</v>
      </c>
      <c r="B91" s="130" t="str">
        <f>'THONG KE'!C96</f>
        <v>cây</v>
      </c>
      <c r="C91" s="151">
        <f>VLOOKUP(A91,'THONG KE'!$B$7:$AC$200,28,0)</f>
        <v>0</v>
      </c>
      <c r="D91" s="101"/>
      <c r="E91" s="101"/>
      <c r="F91" s="10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  <c r="HB91"/>
      <c r="HC91"/>
      <c r="HD91"/>
      <c r="HE91"/>
      <c r="HF91"/>
      <c r="HG91"/>
      <c r="HH91"/>
      <c r="HI91"/>
      <c r="HJ91"/>
      <c r="HK91"/>
      <c r="HL91"/>
      <c r="HM91"/>
      <c r="HN91"/>
      <c r="HO91"/>
      <c r="HP91"/>
      <c r="HQ91"/>
      <c r="HR91"/>
      <c r="HS91"/>
      <c r="HT91"/>
      <c r="HU91"/>
      <c r="HV91"/>
      <c r="HW91"/>
      <c r="HX91"/>
      <c r="HY91"/>
      <c r="HZ91"/>
      <c r="IA91"/>
      <c r="IB91"/>
      <c r="IC91"/>
      <c r="ID91"/>
      <c r="IE91"/>
      <c r="IF91"/>
      <c r="IG91"/>
      <c r="IH91"/>
    </row>
    <row r="92" spans="1:242" ht="19.5" hidden="1" customHeight="1">
      <c r="A92" s="130" t="str">
        <f>'THONG KE'!B97</f>
        <v>Viết Lông Dầu Apolo Xanh 777</v>
      </c>
      <c r="B92" s="130" t="str">
        <f>'THONG KE'!C97</f>
        <v>cây</v>
      </c>
      <c r="C92" s="151">
        <f>VLOOKUP(A92,'THONG KE'!$B$7:$AC$200,28,0)</f>
        <v>0</v>
      </c>
      <c r="D92" s="101"/>
      <c r="E92" s="101"/>
      <c r="F92" s="101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  <c r="HB92"/>
      <c r="HC92"/>
      <c r="HD92"/>
      <c r="HE92"/>
      <c r="HF92"/>
      <c r="HG92"/>
      <c r="HH92"/>
      <c r="HI92"/>
      <c r="HJ92"/>
      <c r="HK92"/>
      <c r="HL92"/>
      <c r="HM92"/>
      <c r="HN92"/>
      <c r="HO92"/>
      <c r="HP92"/>
      <c r="HQ92"/>
      <c r="HR92"/>
      <c r="HS92"/>
      <c r="HT92"/>
      <c r="HU92"/>
      <c r="HV92"/>
      <c r="HW92"/>
      <c r="HX92"/>
      <c r="HY92"/>
      <c r="HZ92"/>
      <c r="IA92"/>
      <c r="IB92"/>
      <c r="IC92"/>
      <c r="ID92"/>
      <c r="IE92"/>
      <c r="IF92"/>
      <c r="IG92"/>
      <c r="IH92"/>
    </row>
    <row r="93" spans="1:242" ht="19.5" hidden="1" customHeight="1">
      <c r="A93" s="130" t="str">
        <f>'THONG KE'!B98</f>
        <v>Viết Xóa Thiên Long Cp-05</v>
      </c>
      <c r="B93" s="130" t="str">
        <f>'THONG KE'!C98</f>
        <v>cây</v>
      </c>
      <c r="C93" s="151">
        <f>VLOOKUP(A93,'THONG KE'!$B$7:$AC$200,28,0)</f>
        <v>0</v>
      </c>
      <c r="D93" s="101"/>
      <c r="E93" s="101"/>
      <c r="F93" s="101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  <c r="HB93"/>
      <c r="HC93"/>
      <c r="HD93"/>
      <c r="HE93"/>
      <c r="HF93"/>
      <c r="HG93"/>
      <c r="HH93"/>
      <c r="HI93"/>
      <c r="HJ93"/>
      <c r="HK93"/>
      <c r="HL93"/>
      <c r="HM93"/>
      <c r="HN93"/>
      <c r="HO93"/>
      <c r="HP93"/>
      <c r="HQ93"/>
      <c r="HR93"/>
      <c r="HS93"/>
      <c r="HT93"/>
      <c r="HU93"/>
      <c r="HV93"/>
      <c r="HW93"/>
      <c r="HX93"/>
      <c r="HY93"/>
      <c r="HZ93"/>
      <c r="IA93"/>
      <c r="IB93"/>
      <c r="IC93"/>
      <c r="ID93"/>
      <c r="IE93"/>
      <c r="IF93"/>
      <c r="IG93"/>
      <c r="IH93"/>
    </row>
    <row r="94" spans="1:242" ht="19.5" hidden="1" customHeight="1">
      <c r="A94" s="130" t="str">
        <f>'THONG KE'!B99</f>
        <v>Viết Lông Bảng Xanh Thiên Long</v>
      </c>
      <c r="B94" s="130" t="str">
        <f>'THONG KE'!C99</f>
        <v>cây</v>
      </c>
      <c r="C94" s="151">
        <f>VLOOKUP(A94,'THONG KE'!$B$7:$AC$200,28,0)</f>
        <v>0</v>
      </c>
      <c r="D94" s="101"/>
      <c r="E94" s="101"/>
      <c r="F94" s="101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  <c r="HB94"/>
      <c r="HC94"/>
      <c r="HD94"/>
      <c r="HE94"/>
      <c r="HF94"/>
      <c r="HG94"/>
      <c r="HH94"/>
      <c r="HI94"/>
      <c r="HJ94"/>
      <c r="HK94"/>
      <c r="HL94"/>
      <c r="HM94"/>
      <c r="HN94"/>
      <c r="HO94"/>
      <c r="HP94"/>
      <c r="HQ94"/>
      <c r="HR94"/>
      <c r="HS94"/>
      <c r="HT94"/>
      <c r="HU94"/>
      <c r="HV94"/>
      <c r="HW94"/>
      <c r="HX94"/>
      <c r="HY94"/>
      <c r="HZ94"/>
      <c r="IA94"/>
      <c r="IB94"/>
      <c r="IC94"/>
      <c r="ID94"/>
      <c r="IE94"/>
      <c r="IF94"/>
      <c r="IG94"/>
      <c r="IH94"/>
    </row>
    <row r="95" spans="1:242" ht="19.5" hidden="1" customHeight="1">
      <c r="A95" s="130" t="str">
        <f>'THONG KE'!B100</f>
        <v xml:space="preserve">Nước rửa kính Gift 580ml </v>
      </c>
      <c r="B95" s="130" t="str">
        <f>'THONG KE'!C100</f>
        <v>Chai</v>
      </c>
      <c r="C95" s="151">
        <f>VLOOKUP(A95,'THONG KE'!$B$7:$AC$200,28,0)</f>
        <v>0</v>
      </c>
      <c r="D95" s="101"/>
      <c r="E95" s="101"/>
      <c r="F95" s="101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  <c r="HB95"/>
      <c r="HC95"/>
      <c r="HD95"/>
      <c r="HE95"/>
      <c r="HF95"/>
      <c r="HG95"/>
      <c r="HH95"/>
      <c r="HI95"/>
      <c r="HJ95"/>
      <c r="HK95"/>
      <c r="HL95"/>
      <c r="HM95"/>
      <c r="HN95"/>
      <c r="HO95"/>
      <c r="HP95"/>
      <c r="HQ95"/>
      <c r="HR95"/>
      <c r="HS95"/>
      <c r="HT95"/>
      <c r="HU95"/>
      <c r="HV95"/>
      <c r="HW95"/>
      <c r="HX95"/>
      <c r="HY95"/>
      <c r="HZ95"/>
      <c r="IA95"/>
      <c r="IB95"/>
      <c r="IC95"/>
      <c r="ID95"/>
      <c r="IE95"/>
      <c r="IF95"/>
      <c r="IG95"/>
      <c r="IH95"/>
    </row>
    <row r="96" spans="1:242" ht="19.5" hidden="1" customHeight="1">
      <c r="A96" s="130" t="str">
        <f>'THONG KE'!B101</f>
        <v>Keo 502</v>
      </c>
      <c r="B96" s="130" t="str">
        <f>'THONG KE'!C101</f>
        <v>hộp</v>
      </c>
      <c r="C96" s="151">
        <f>VLOOKUP(A96,'THONG KE'!$B$7:$AC$200,28,0)</f>
        <v>0</v>
      </c>
      <c r="D96" s="101"/>
      <c r="E96" s="101"/>
      <c r="F96" s="101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  <c r="HB96"/>
      <c r="HC96"/>
      <c r="HD96"/>
      <c r="HE96"/>
      <c r="HF96"/>
      <c r="HG96"/>
      <c r="HH96"/>
      <c r="HI96"/>
      <c r="HJ96"/>
      <c r="HK96"/>
      <c r="HL96"/>
      <c r="HM96"/>
      <c r="HN96"/>
      <c r="HO96"/>
      <c r="HP96"/>
      <c r="HQ96"/>
      <c r="HR96"/>
      <c r="HS96"/>
      <c r="HT96"/>
      <c r="HU96"/>
      <c r="HV96"/>
      <c r="HW96"/>
      <c r="HX96"/>
      <c r="HY96"/>
      <c r="HZ96"/>
      <c r="IA96"/>
      <c r="IB96"/>
      <c r="IC96"/>
      <c r="ID96"/>
      <c r="IE96"/>
      <c r="IF96"/>
      <c r="IG96"/>
      <c r="IH96"/>
    </row>
    <row r="97" spans="1:242" ht="19.5" hidden="1" customHeight="1">
      <c r="A97" s="130" t="str">
        <f>'THONG KE'!B102</f>
        <v>Kẹp Bướm 19Mm</v>
      </c>
      <c r="B97" s="130" t="str">
        <f>'THONG KE'!C102</f>
        <v>hộp</v>
      </c>
      <c r="C97" s="151">
        <f>VLOOKUP(A97,'THONG KE'!$B$7:$AC$200,28,0)</f>
        <v>0</v>
      </c>
      <c r="D97" s="101"/>
      <c r="E97" s="101"/>
      <c r="F97" s="101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  <c r="HB97"/>
      <c r="HC97"/>
      <c r="HD97"/>
      <c r="HE97"/>
      <c r="HF97"/>
      <c r="HG97"/>
      <c r="HH97"/>
      <c r="HI97"/>
      <c r="HJ97"/>
      <c r="HK97"/>
      <c r="HL97"/>
      <c r="HM97"/>
      <c r="HN97"/>
      <c r="HO97"/>
      <c r="HP97"/>
      <c r="HQ97"/>
      <c r="HR97"/>
      <c r="HS97"/>
      <c r="HT97"/>
      <c r="HU97"/>
      <c r="HV97"/>
      <c r="HW97"/>
      <c r="HX97"/>
      <c r="HY97"/>
      <c r="HZ97"/>
      <c r="IA97"/>
      <c r="IB97"/>
      <c r="IC97"/>
      <c r="ID97"/>
      <c r="IE97"/>
      <c r="IF97"/>
      <c r="IG97"/>
      <c r="IH97"/>
    </row>
    <row r="98" spans="1:242" ht="19.5" hidden="1" customHeight="1">
      <c r="A98" s="130" t="str">
        <f>'THONG KE'!B103</f>
        <v>Kẹp Bướm 25Mm</v>
      </c>
      <c r="B98" s="130" t="str">
        <f>'THONG KE'!C103</f>
        <v>hộp</v>
      </c>
      <c r="C98" s="151">
        <f>VLOOKUP(A98,'THONG KE'!$B$7:$AC$200,28,0)</f>
        <v>0</v>
      </c>
      <c r="D98" s="101"/>
      <c r="E98" s="101"/>
      <c r="F98" s="101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  <c r="HB98"/>
      <c r="HC98"/>
      <c r="HD98"/>
      <c r="HE98"/>
      <c r="HF98"/>
      <c r="HG98"/>
      <c r="HH98"/>
      <c r="HI98"/>
      <c r="HJ98"/>
      <c r="HK98"/>
      <c r="HL98"/>
      <c r="HM98"/>
      <c r="HN98"/>
      <c r="HO98"/>
      <c r="HP98"/>
      <c r="HQ98"/>
      <c r="HR98"/>
      <c r="HS98"/>
      <c r="HT98"/>
      <c r="HU98"/>
      <c r="HV98"/>
      <c r="HW98"/>
      <c r="HX98"/>
      <c r="HY98"/>
      <c r="HZ98"/>
      <c r="IA98"/>
      <c r="IB98"/>
      <c r="IC98"/>
      <c r="ID98"/>
      <c r="IE98"/>
      <c r="IF98"/>
      <c r="IG98"/>
      <c r="IH98"/>
    </row>
    <row r="99" spans="1:242" ht="19.5" hidden="1" customHeight="1">
      <c r="A99" s="130" t="str">
        <f>'THONG KE'!B104</f>
        <v>Kẹp Bướm 32Mm</v>
      </c>
      <c r="B99" s="130" t="str">
        <f>'THONG KE'!C104</f>
        <v>hộp</v>
      </c>
      <c r="C99" s="151">
        <f>VLOOKUP(A99,'THONG KE'!$B$7:$AC$200,28,0)</f>
        <v>0</v>
      </c>
      <c r="D99" s="101"/>
      <c r="E99" s="101"/>
      <c r="F99" s="101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  <c r="HB99"/>
      <c r="HC99"/>
      <c r="HD99"/>
      <c r="HE99"/>
      <c r="HF99"/>
      <c r="HG99"/>
      <c r="HH99"/>
      <c r="HI99"/>
      <c r="HJ99"/>
      <c r="HK99"/>
      <c r="HL99"/>
      <c r="HM99"/>
      <c r="HN99"/>
      <c r="HO99"/>
      <c r="HP99"/>
      <c r="HQ99"/>
      <c r="HR99"/>
      <c r="HS99"/>
      <c r="HT99"/>
      <c r="HU99"/>
      <c r="HV99"/>
      <c r="HW99"/>
      <c r="HX99"/>
      <c r="HY99"/>
      <c r="HZ99"/>
      <c r="IA99"/>
      <c r="IB99"/>
      <c r="IC99"/>
      <c r="ID99"/>
      <c r="IE99"/>
      <c r="IF99"/>
      <c r="IG99"/>
      <c r="IH99"/>
    </row>
    <row r="100" spans="1:242" ht="19.5" customHeight="1">
      <c r="A100" s="130" t="str">
        <f>'THONG KE'!B105</f>
        <v>Kẹp Bướm 41Mm</v>
      </c>
      <c r="B100" s="130" t="str">
        <f>'THONG KE'!C105</f>
        <v>hộp</v>
      </c>
      <c r="C100" s="151">
        <f>VLOOKUP(A100,'THONG KE'!$B$7:$AC$200,28,0)</f>
        <v>1</v>
      </c>
      <c r="D100" s="101"/>
      <c r="E100" s="101"/>
      <c r="F100" s="101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  <c r="HB100"/>
      <c r="HC100"/>
      <c r="HD100"/>
      <c r="HE100"/>
      <c r="HF100"/>
      <c r="HG100"/>
      <c r="HH100"/>
      <c r="HI100"/>
      <c r="HJ100"/>
      <c r="HK100"/>
      <c r="HL100"/>
      <c r="HM100"/>
      <c r="HN100"/>
      <c r="HO100"/>
      <c r="HP100"/>
      <c r="HQ100"/>
      <c r="HR100"/>
      <c r="HS100"/>
      <c r="HT100"/>
      <c r="HU100"/>
      <c r="HV100"/>
      <c r="HW100"/>
      <c r="HX100"/>
      <c r="HY100"/>
      <c r="HZ100"/>
      <c r="IA100"/>
      <c r="IB100"/>
      <c r="IC100"/>
      <c r="ID100"/>
      <c r="IE100"/>
      <c r="IF100"/>
      <c r="IG100"/>
      <c r="IH100"/>
    </row>
    <row r="101" spans="1:242" ht="19.5" hidden="1" customHeight="1">
      <c r="A101" s="130" t="str">
        <f>'THONG KE'!B106</f>
        <v>Kẹp Bướm 51Mm</v>
      </c>
      <c r="B101" s="130" t="str">
        <f>'THONG KE'!C106</f>
        <v>hộp</v>
      </c>
      <c r="C101" s="151">
        <f>VLOOKUP(A101,'THONG KE'!$B$7:$AC$200,28,0)</f>
        <v>0</v>
      </c>
      <c r="D101" s="101"/>
      <c r="E101" s="101"/>
      <c r="F101" s="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  <c r="HB101"/>
      <c r="HC101"/>
      <c r="HD101"/>
      <c r="HE101"/>
      <c r="HF101"/>
      <c r="HG101"/>
      <c r="HH101"/>
      <c r="HI101"/>
      <c r="HJ101"/>
      <c r="HK101"/>
      <c r="HL101"/>
      <c r="HM101"/>
      <c r="HN101"/>
      <c r="HO101"/>
      <c r="HP101"/>
      <c r="HQ101"/>
      <c r="HR101"/>
      <c r="HS101"/>
      <c r="HT101"/>
      <c r="HU101"/>
      <c r="HV101"/>
      <c r="HW101"/>
      <c r="HX101"/>
      <c r="HY101"/>
      <c r="HZ101"/>
      <c r="IA101"/>
      <c r="IB101"/>
      <c r="IC101"/>
      <c r="ID101"/>
      <c r="IE101"/>
      <c r="IF101"/>
      <c r="IG101"/>
      <c r="IH101"/>
    </row>
    <row r="102" spans="1:242" ht="19.5" hidden="1" customHeight="1">
      <c r="A102" s="130" t="str">
        <f>'THONG KE'!B107</f>
        <v>Ly Nhựa 411 140Ml</v>
      </c>
      <c r="B102" s="130" t="str">
        <f>'THONG KE'!C107</f>
        <v>Cái</v>
      </c>
      <c r="C102" s="151">
        <f>VLOOKUP(A102,'THONG KE'!$B$7:$AC$200,28,0)</f>
        <v>0</v>
      </c>
      <c r="D102" s="101"/>
      <c r="E102" s="101"/>
      <c r="F102" s="101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  <c r="HB102"/>
      <c r="HC102"/>
      <c r="HD102"/>
      <c r="HE102"/>
      <c r="HF102"/>
      <c r="HG102"/>
      <c r="HH102"/>
      <c r="HI102"/>
      <c r="HJ102"/>
      <c r="HK102"/>
      <c r="HL102"/>
      <c r="HM102"/>
      <c r="HN102"/>
      <c r="HO102"/>
      <c r="HP102"/>
      <c r="HQ102"/>
      <c r="HR102"/>
      <c r="HS102"/>
      <c r="HT102"/>
      <c r="HU102"/>
      <c r="HV102"/>
      <c r="HW102"/>
      <c r="HX102"/>
      <c r="HY102"/>
      <c r="HZ102"/>
      <c r="IA102"/>
      <c r="IB102"/>
      <c r="IC102"/>
      <c r="ID102"/>
      <c r="IE102"/>
      <c r="IF102"/>
      <c r="IG102"/>
      <c r="IH102"/>
    </row>
    <row r="103" spans="1:242" ht="19.5" hidden="1" customHeight="1">
      <c r="A103" s="130" t="str">
        <f>'THONG KE'!B108</f>
        <v>Chỗi nylon trung</v>
      </c>
      <c r="B103" s="130" t="str">
        <f>'THONG KE'!C108</f>
        <v>cây</v>
      </c>
      <c r="C103" s="151">
        <f>VLOOKUP(A103,'THONG KE'!$B$7:$AC$200,28,0)</f>
        <v>0</v>
      </c>
      <c r="D103" s="101"/>
      <c r="E103" s="101"/>
      <c r="F103" s="101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  <c r="HB103"/>
      <c r="HC103"/>
      <c r="HD103"/>
      <c r="HE103"/>
      <c r="HF103"/>
      <c r="HG103"/>
      <c r="HH103"/>
      <c r="HI103"/>
      <c r="HJ103"/>
      <c r="HK103"/>
      <c r="HL103"/>
      <c r="HM103"/>
      <c r="HN103"/>
      <c r="HO103"/>
      <c r="HP103"/>
      <c r="HQ103"/>
      <c r="HR103"/>
      <c r="HS103"/>
      <c r="HT103"/>
      <c r="HU103"/>
      <c r="HV103"/>
      <c r="HW103"/>
      <c r="HX103"/>
      <c r="HY103"/>
      <c r="HZ103"/>
      <c r="IA103"/>
      <c r="IB103"/>
      <c r="IC103"/>
      <c r="ID103"/>
      <c r="IE103"/>
      <c r="IF103"/>
      <c r="IG103"/>
      <c r="IH103"/>
    </row>
    <row r="104" spans="1:242" ht="19.5" hidden="1" customHeight="1">
      <c r="A104" s="130" t="str">
        <f>'THONG KE'!B109</f>
        <v>Bao Thư Cửa Sổ 12X22</v>
      </c>
      <c r="B104" s="130" t="str">
        <f>'THONG KE'!C109</f>
        <v>Cái</v>
      </c>
      <c r="C104" s="151">
        <f>VLOOKUP(A104,'THONG KE'!$B$7:$AC$200,28,0)</f>
        <v>0</v>
      </c>
      <c r="D104" s="101"/>
      <c r="E104" s="101"/>
      <c r="F104" s="101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  <c r="HB104"/>
      <c r="HC104"/>
      <c r="HD104"/>
      <c r="HE104"/>
      <c r="HF104"/>
      <c r="HG104"/>
      <c r="HH104"/>
      <c r="HI104"/>
      <c r="HJ104"/>
      <c r="HK104"/>
      <c r="HL104"/>
      <c r="HM104"/>
      <c r="HN104"/>
      <c r="HO104"/>
      <c r="HP104"/>
      <c r="HQ104"/>
      <c r="HR104"/>
      <c r="HS104"/>
      <c r="HT104"/>
      <c r="HU104"/>
      <c r="HV104"/>
      <c r="HW104"/>
      <c r="HX104"/>
      <c r="HY104"/>
      <c r="HZ104"/>
      <c r="IA104"/>
      <c r="IB104"/>
      <c r="IC104"/>
      <c r="ID104"/>
      <c r="IE104"/>
      <c r="IF104"/>
      <c r="IG104"/>
      <c r="IH104"/>
    </row>
    <row r="105" spans="1:242" ht="19.5" hidden="1" customHeight="1">
      <c r="A105" s="130" t="str">
        <f>'THONG KE'!B110</f>
        <v>Bao Thư Trắng 12X22-80G/M2</v>
      </c>
      <c r="B105" s="130" t="str">
        <f>'THONG KE'!C110</f>
        <v>Cái</v>
      </c>
      <c r="C105" s="151">
        <f>VLOOKUP(A105,'THONG KE'!$B$7:$AC$200,28,0)</f>
        <v>0</v>
      </c>
      <c r="D105" s="101"/>
      <c r="E105" s="101"/>
      <c r="F105" s="101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  <c r="HB105"/>
      <c r="HC105"/>
      <c r="HD105"/>
      <c r="HE105"/>
      <c r="HF105"/>
      <c r="HG105"/>
      <c r="HH105"/>
      <c r="HI105"/>
      <c r="HJ105"/>
      <c r="HK105"/>
      <c r="HL105"/>
      <c r="HM105"/>
      <c r="HN105"/>
      <c r="HO105"/>
      <c r="HP105"/>
      <c r="HQ105"/>
      <c r="HR105"/>
      <c r="HS105"/>
      <c r="HT105"/>
      <c r="HU105"/>
      <c r="HV105"/>
      <c r="HW105"/>
      <c r="HX105"/>
      <c r="HY105"/>
      <c r="HZ105"/>
      <c r="IA105"/>
      <c r="IB105"/>
      <c r="IC105"/>
      <c r="ID105"/>
      <c r="IE105"/>
      <c r="IF105"/>
      <c r="IG105"/>
      <c r="IH105"/>
    </row>
    <row r="106" spans="1:242" ht="19.5" hidden="1" customHeight="1">
      <c r="A106" s="130" t="str">
        <f>'THONG KE'!B111</f>
        <v>Bao Thư Trắng 25X35-80G/M2</v>
      </c>
      <c r="B106" s="130" t="str">
        <f>'THONG KE'!C111</f>
        <v>Cái</v>
      </c>
      <c r="C106" s="151">
        <f>VLOOKUP(A106,'THONG KE'!$B$7:$AC$200,28,0)</f>
        <v>0</v>
      </c>
      <c r="D106" s="101"/>
      <c r="E106" s="101"/>
      <c r="F106" s="101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  <c r="HB106"/>
      <c r="HC106"/>
      <c r="HD106"/>
      <c r="HE106"/>
      <c r="HF106"/>
      <c r="HG106"/>
      <c r="HH106"/>
      <c r="HI106"/>
      <c r="HJ106"/>
      <c r="HK106"/>
      <c r="HL106"/>
      <c r="HM106"/>
      <c r="HN106"/>
      <c r="HO106"/>
      <c r="HP106"/>
      <c r="HQ106"/>
      <c r="HR106"/>
      <c r="HS106"/>
      <c r="HT106"/>
      <c r="HU106"/>
      <c r="HV106"/>
      <c r="HW106"/>
      <c r="HX106"/>
      <c r="HY106"/>
      <c r="HZ106"/>
      <c r="IA106"/>
      <c r="IB106"/>
      <c r="IC106"/>
      <c r="ID106"/>
      <c r="IE106"/>
      <c r="IF106"/>
      <c r="IG106"/>
      <c r="IH106"/>
    </row>
    <row r="107" spans="1:242" ht="19.5" hidden="1" customHeight="1">
      <c r="A107" s="130" t="str">
        <f>'THONG KE'!B112</f>
        <v>Bao Thư Trắng A5</v>
      </c>
      <c r="B107" s="130" t="str">
        <f>'THONG KE'!C112</f>
        <v>Cái</v>
      </c>
      <c r="C107" s="151">
        <f>VLOOKUP(A107,'THONG KE'!$B$7:$AC$200,28,0)</f>
        <v>0</v>
      </c>
      <c r="D107" s="101"/>
      <c r="E107" s="101"/>
      <c r="F107" s="101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  <c r="HB107"/>
      <c r="HC107"/>
      <c r="HD107"/>
      <c r="HE107"/>
      <c r="HF107"/>
      <c r="HG107"/>
      <c r="HH107"/>
      <c r="HI107"/>
      <c r="HJ107"/>
      <c r="HK107"/>
      <c r="HL107"/>
      <c r="HM107"/>
      <c r="HN107"/>
      <c r="HO107"/>
      <c r="HP107"/>
      <c r="HQ107"/>
      <c r="HR107"/>
      <c r="HS107"/>
      <c r="HT107"/>
      <c r="HU107"/>
      <c r="HV107"/>
      <c r="HW107"/>
      <c r="HX107"/>
      <c r="HY107"/>
      <c r="HZ107"/>
      <c r="IA107"/>
      <c r="IB107"/>
      <c r="IC107"/>
      <c r="ID107"/>
      <c r="IE107"/>
      <c r="IF107"/>
      <c r="IG107"/>
      <c r="IH107"/>
    </row>
    <row r="108" spans="1:242" s="123" customFormat="1" ht="19.5" hidden="1" customHeight="1">
      <c r="A108" s="130" t="str">
        <f>'THONG KE'!B113</f>
        <v>Ly nhựa nhỏ Tân Hiệp Hưng 399</v>
      </c>
      <c r="B108" s="130" t="str">
        <f>'THONG KE'!C113</f>
        <v>cái</v>
      </c>
      <c r="C108" s="151">
        <f>VLOOKUP(A108,'THONG KE'!$B$7:$AC$200,28,0)</f>
        <v>0</v>
      </c>
      <c r="D108" s="101"/>
      <c r="E108" s="101"/>
      <c r="F108" s="101"/>
      <c r="G108" s="124"/>
      <c r="H108" s="124"/>
    </row>
    <row r="109" spans="1:242" s="123" customFormat="1" ht="19.5" customHeight="1">
      <c r="A109" s="130" t="str">
        <f>'THONG KE'!B114</f>
        <v>băng keo 2.5p 100 yard</v>
      </c>
      <c r="B109" s="130" t="str">
        <f>'THONG KE'!C114</f>
        <v>cuộn</v>
      </c>
      <c r="C109" s="151">
        <f>VLOOKUP(A109,'THONG KE'!$B$7:$AC$200,28,0)</f>
        <v>25</v>
      </c>
      <c r="D109" s="101"/>
      <c r="E109" s="101"/>
      <c r="F109" s="101"/>
      <c r="G109" s="124"/>
      <c r="H109" s="124"/>
    </row>
    <row r="110" spans="1:242" s="123" customFormat="1" ht="19.5" hidden="1" customHeight="1">
      <c r="A110" s="130" t="str">
        <f>'THONG KE'!B115</f>
        <v>Cana đánh bóng 220g</v>
      </c>
      <c r="B110" s="130" t="str">
        <f>'THONG KE'!C115</f>
        <v>hộp</v>
      </c>
      <c r="C110" s="151">
        <f>VLOOKUP(A110,'THONG KE'!$B$7:$AC$200,28,0)</f>
        <v>0</v>
      </c>
      <c r="D110" s="101"/>
      <c r="E110" s="101"/>
      <c r="F110" s="101"/>
      <c r="G110" s="124"/>
      <c r="H110" s="124"/>
    </row>
    <row r="111" spans="1:242" ht="15.75" hidden="1" customHeight="1">
      <c r="A111" s="130" t="str">
        <f>'THONG KE'!B116</f>
        <v>Rổ xéo nhựa 1 ngăn - xanh dương</v>
      </c>
      <c r="B111" s="130" t="str">
        <f>'THONG KE'!C116</f>
        <v>cái</v>
      </c>
      <c r="C111" s="151">
        <f>VLOOKUP(A111,'THONG KE'!$B$7:$AC$200,28,0)</f>
        <v>0</v>
      </c>
      <c r="D111" s="101"/>
      <c r="E111" s="101"/>
      <c r="F111" s="10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  <c r="HB111"/>
      <c r="HC111"/>
      <c r="HD111"/>
      <c r="HE111"/>
      <c r="HF111"/>
      <c r="HG111"/>
      <c r="HH111"/>
      <c r="HI111"/>
      <c r="HJ111"/>
      <c r="HK111"/>
      <c r="HL111"/>
      <c r="HM111"/>
      <c r="HN111"/>
      <c r="HO111"/>
      <c r="HP111"/>
      <c r="HQ111"/>
      <c r="HR111"/>
      <c r="HS111"/>
      <c r="HT111"/>
      <c r="HU111"/>
      <c r="HV111"/>
      <c r="HW111"/>
      <c r="HX111"/>
      <c r="HY111"/>
      <c r="HZ111"/>
      <c r="IA111"/>
      <c r="IB111"/>
      <c r="IC111"/>
      <c r="ID111"/>
      <c r="IE111"/>
      <c r="IF111"/>
      <c r="IG111"/>
      <c r="IH111"/>
    </row>
    <row r="112" spans="1:242" s="123" customFormat="1" ht="15.75" hidden="1" customHeight="1">
      <c r="A112" s="130" t="str">
        <f>'THONG KE'!B117</f>
        <v>Bút lông dầu Artline EK 100 đen</v>
      </c>
      <c r="B112" s="130" t="str">
        <f>'THONG KE'!C117</f>
        <v>cây</v>
      </c>
      <c r="C112" s="151">
        <f>VLOOKUP(A112,'THONG KE'!$B$7:$AC$200,28,0)</f>
        <v>0</v>
      </c>
      <c r="D112" s="101"/>
      <c r="E112" s="101"/>
      <c r="F112" s="101"/>
    </row>
    <row r="113" spans="1:6" s="123" customFormat="1" ht="15.75" hidden="1" customHeight="1">
      <c r="A113" s="130" t="str">
        <f>'THONG KE'!B118</f>
        <v>Bút lông dầu Artline EK 100 đỏ</v>
      </c>
      <c r="B113" s="130" t="str">
        <f>'THONG KE'!C118</f>
        <v>cây</v>
      </c>
      <c r="C113" s="151">
        <f>VLOOKUP(A113,'THONG KE'!$B$7:$AC$200,28,0)</f>
        <v>0</v>
      </c>
      <c r="D113" s="101"/>
      <c r="E113" s="101"/>
      <c r="F113" s="101"/>
    </row>
    <row r="114" spans="1:6" s="123" customFormat="1" ht="15.75" hidden="1" customHeight="1">
      <c r="A114" s="130" t="str">
        <f>'THONG KE'!B119</f>
        <v>Giấy gói quà</v>
      </c>
      <c r="B114" s="130" t="str">
        <f>'THONG KE'!C119</f>
        <v>tờ</v>
      </c>
      <c r="C114" s="151">
        <f>VLOOKUP(A114,'THONG KE'!$B$7:$AC$200,28,0)</f>
        <v>0</v>
      </c>
      <c r="D114" s="101"/>
      <c r="E114" s="101"/>
      <c r="F114" s="101"/>
    </row>
    <row r="115" spans="1:6" s="123" customFormat="1" ht="15.75" hidden="1" customHeight="1">
      <c r="A115" s="130" t="str">
        <f>'THONG KE'!B120</f>
        <v>Dây thun</v>
      </c>
      <c r="B115" s="130" t="str">
        <f>'THONG KE'!C120</f>
        <v>bịch</v>
      </c>
      <c r="C115" s="151">
        <f>VLOOKUP(A115,'THONG KE'!$B$7:$AC$200,28,0)</f>
        <v>0</v>
      </c>
      <c r="D115" s="101"/>
      <c r="E115" s="101"/>
      <c r="F115" s="101"/>
    </row>
    <row r="116" spans="1:6" s="123" customFormat="1" ht="15.75" hidden="1" customHeight="1">
      <c r="A116" s="130" t="str">
        <f>'THONG KE'!B121</f>
        <v>Khay 2 tầng mica</v>
      </c>
      <c r="B116" s="130" t="str">
        <f>'THONG KE'!C121</f>
        <v>bộ</v>
      </c>
      <c r="C116" s="151">
        <f>VLOOKUP(A116,'THONG KE'!$B$7:$AC$200,28,0)</f>
        <v>0</v>
      </c>
      <c r="D116" s="101"/>
      <c r="E116" s="101"/>
      <c r="F116" s="101"/>
    </row>
    <row r="117" spans="1:6" s="123" customFormat="1" ht="15.75" hidden="1" customHeight="1">
      <c r="A117" s="130" t="str">
        <f>'THONG KE'!B122</f>
        <v>Khay 3 tầng mica</v>
      </c>
      <c r="B117" s="130" t="str">
        <f>'THONG KE'!C122</f>
        <v>bộ</v>
      </c>
      <c r="C117" s="151">
        <f>VLOOKUP(A117,'THONG KE'!$B$7:$AC$200,28,0)</f>
        <v>0</v>
      </c>
      <c r="D117" s="101"/>
      <c r="E117" s="101"/>
      <c r="F117" s="101"/>
    </row>
    <row r="118" spans="1:6" s="123" customFormat="1" ht="15.75" hidden="1" customHeight="1">
      <c r="A118" s="130" t="str">
        <f>'THONG KE'!B123</f>
        <v>Nơ rút gói quà loại nhỏ</v>
      </c>
      <c r="B118" s="130" t="str">
        <f>'THONG KE'!C123</f>
        <v>cái</v>
      </c>
      <c r="C118" s="151">
        <f>VLOOKUP(A118,'THONG KE'!$B$7:$AC$200,28,0)</f>
        <v>0</v>
      </c>
      <c r="D118" s="101"/>
      <c r="E118" s="101"/>
      <c r="F118" s="101"/>
    </row>
    <row r="119" spans="1:6" s="123" customFormat="1" ht="15.75" hidden="1" customHeight="1">
      <c r="A119" s="130" t="str">
        <f>'THONG KE'!B124</f>
        <v>Nơ rút gói quà loại trung</v>
      </c>
      <c r="B119" s="130" t="str">
        <f>'THONG KE'!C124</f>
        <v>cái</v>
      </c>
      <c r="C119" s="151">
        <f>VLOOKUP(A119,'THONG KE'!$B$7:$AC$200,28,0)</f>
        <v>0</v>
      </c>
      <c r="D119" s="101"/>
      <c r="E119" s="101"/>
      <c r="F119" s="101"/>
    </row>
    <row r="120" spans="1:6" s="123" customFormat="1" ht="15.75" hidden="1" customHeight="1">
      <c r="A120" s="130" t="str">
        <f>'THONG KE'!B125</f>
        <v>Nơ rút gói quà loại lớn</v>
      </c>
      <c r="B120" s="130" t="str">
        <f>'THONG KE'!C125</f>
        <v>cái</v>
      </c>
      <c r="C120" s="151">
        <f>VLOOKUP(A120,'THONG KE'!$B$7:$AC$200,28,0)</f>
        <v>0</v>
      </c>
      <c r="D120" s="101"/>
      <c r="E120" s="101"/>
      <c r="F120" s="101"/>
    </row>
    <row r="121" spans="1:6" s="123" customFormat="1" ht="15.75" hidden="1" customHeight="1">
      <c r="A121" s="130" t="str">
        <f>'THONG KE'!B126</f>
        <v>Giấy phân trang</v>
      </c>
      <c r="B121" s="130" t="str">
        <f>'THONG KE'!C126</f>
        <v>xấp</v>
      </c>
      <c r="C121" s="151">
        <f>VLOOKUP(A121,'THONG KE'!$B$7:$AC$200,28,0)</f>
        <v>0</v>
      </c>
      <c r="D121" s="101"/>
      <c r="E121" s="101"/>
      <c r="F121" s="101"/>
    </row>
    <row r="122" spans="1:6" s="123" customFormat="1" ht="15.75" hidden="1" customHeight="1">
      <c r="A122" s="130" t="str">
        <f>'THONG KE'!B127</f>
        <v>Cây ghim giấy</v>
      </c>
      <c r="B122" s="130" t="str">
        <f>'THONG KE'!C127</f>
        <v>cây</v>
      </c>
      <c r="C122" s="151">
        <f>VLOOKUP(A122,'THONG KE'!$B$7:$AC$200,28,0)</f>
        <v>0</v>
      </c>
      <c r="D122" s="101"/>
      <c r="E122" s="101"/>
      <c r="F122" s="101"/>
    </row>
    <row r="123" spans="1:6" s="123" customFormat="1" ht="15.75" hidden="1" customHeight="1">
      <c r="A123" s="130">
        <f>'THONG KE'!B128</f>
        <v>0</v>
      </c>
      <c r="B123" s="130">
        <f>'THONG KE'!C128</f>
        <v>0</v>
      </c>
      <c r="C123" s="151">
        <f>VLOOKUP(A123,'THONG KE'!$B$7:$AC$200,28,0)</f>
        <v>0</v>
      </c>
      <c r="D123" s="101"/>
      <c r="E123" s="101"/>
      <c r="F123" s="101"/>
    </row>
    <row r="124" spans="1:6" s="123" customFormat="1" ht="15.75" hidden="1" customHeight="1">
      <c r="A124" s="130">
        <f>'THONG KE'!B129</f>
        <v>0</v>
      </c>
      <c r="B124" s="130">
        <f>'THONG KE'!C129</f>
        <v>0</v>
      </c>
      <c r="C124" s="151">
        <f>VLOOKUP(A124,'THONG KE'!$B$7:$AC$200,28,0)</f>
        <v>0</v>
      </c>
      <c r="D124" s="101"/>
      <c r="E124" s="101"/>
      <c r="F124" s="101"/>
    </row>
    <row r="125" spans="1:6" s="123" customFormat="1" ht="15.75" hidden="1" customHeight="1">
      <c r="A125" s="130">
        <f>'THONG KE'!B130</f>
        <v>0</v>
      </c>
      <c r="B125" s="130">
        <f>'THONG KE'!C130</f>
        <v>0</v>
      </c>
      <c r="C125" s="151">
        <f>VLOOKUP(A125,'THONG KE'!$B$7:$AC$200,28,0)</f>
        <v>0</v>
      </c>
      <c r="D125" s="101"/>
      <c r="E125" s="101"/>
      <c r="F125" s="101"/>
    </row>
    <row r="126" spans="1:6" s="123" customFormat="1" ht="15.75" hidden="1" customHeight="1">
      <c r="A126" s="130">
        <f>'THONG KE'!B131</f>
        <v>0</v>
      </c>
      <c r="B126" s="130">
        <f>'THONG KE'!C131</f>
        <v>0</v>
      </c>
      <c r="C126" s="151">
        <f>VLOOKUP(A126,'THONG KE'!$B$7:$AC$200,28,0)</f>
        <v>0</v>
      </c>
      <c r="D126" s="101"/>
      <c r="E126" s="101"/>
      <c r="F126" s="101"/>
    </row>
    <row r="127" spans="1:6" s="123" customFormat="1" ht="15.75" hidden="1" customHeight="1">
      <c r="A127" s="130">
        <f>'THONG KE'!B132</f>
        <v>0</v>
      </c>
      <c r="B127" s="130">
        <f>'THONG KE'!C132</f>
        <v>0</v>
      </c>
      <c r="C127" s="151">
        <f>VLOOKUP(A127,'THONG KE'!$B$7:$AC$200,28,0)</f>
        <v>0</v>
      </c>
      <c r="D127" s="101"/>
      <c r="E127" s="101"/>
      <c r="F127" s="101"/>
    </row>
    <row r="128" spans="1:6" s="123" customFormat="1" ht="15.75" hidden="1" customHeight="1">
      <c r="A128" s="130">
        <f>'THONG KE'!B133</f>
        <v>0</v>
      </c>
      <c r="B128" s="130">
        <f>'THONG KE'!C133</f>
        <v>0</v>
      </c>
      <c r="C128" s="151">
        <f>VLOOKUP(A128,'THONG KE'!$B$7:$AC$200,28,0)</f>
        <v>0</v>
      </c>
      <c r="D128" s="101"/>
      <c r="E128" s="101"/>
      <c r="F128" s="101"/>
    </row>
    <row r="129" spans="1:6" s="123" customFormat="1" ht="15.75" hidden="1" customHeight="1">
      <c r="A129" s="130">
        <f>'THONG KE'!B134</f>
        <v>0</v>
      </c>
      <c r="B129" s="130">
        <f>'THONG KE'!C134</f>
        <v>0</v>
      </c>
      <c r="C129" s="151">
        <f>VLOOKUP(A129,'THONG KE'!$B$7:$AC$200,28,0)</f>
        <v>0</v>
      </c>
      <c r="D129" s="101"/>
      <c r="E129" s="101"/>
      <c r="F129" s="101"/>
    </row>
    <row r="130" spans="1:6" s="123" customFormat="1" ht="15.75" hidden="1" customHeight="1">
      <c r="A130" s="130">
        <f>'THONG KE'!B135</f>
        <v>0</v>
      </c>
      <c r="B130" s="130">
        <f>'THONG KE'!C135</f>
        <v>0</v>
      </c>
      <c r="C130" s="151">
        <f>VLOOKUP(A130,'THONG KE'!$B$7:$AC$200,28,0)</f>
        <v>0</v>
      </c>
      <c r="D130" s="101"/>
      <c r="E130" s="101"/>
      <c r="F130" s="101"/>
    </row>
    <row r="131" spans="1:6" s="123" customFormat="1" ht="15.75" hidden="1" customHeight="1">
      <c r="A131" s="130">
        <f>'THONG KE'!B136</f>
        <v>0</v>
      </c>
      <c r="B131" s="130">
        <f>'THONG KE'!C136</f>
        <v>0</v>
      </c>
      <c r="C131" s="151">
        <f>VLOOKUP(A131,'THONG KE'!$B$7:$AC$200,28,0)</f>
        <v>0</v>
      </c>
      <c r="D131" s="101"/>
      <c r="E131" s="101"/>
      <c r="F131" s="101"/>
    </row>
    <row r="132" spans="1:6" s="123" customFormat="1" ht="15.75" hidden="1" customHeight="1">
      <c r="A132" s="130">
        <f>'THONG KE'!B137</f>
        <v>0</v>
      </c>
      <c r="B132" s="130">
        <f>'THONG KE'!C137</f>
        <v>0</v>
      </c>
      <c r="C132" s="151">
        <f>VLOOKUP(A132,'THONG KE'!$B$7:$AC$200,28,0)</f>
        <v>0</v>
      </c>
      <c r="D132" s="101"/>
      <c r="E132" s="101"/>
      <c r="F132" s="101"/>
    </row>
    <row r="133" spans="1:6" s="123" customFormat="1" ht="15.75" hidden="1" customHeight="1">
      <c r="A133" s="130">
        <f>'THONG KE'!B138</f>
        <v>0</v>
      </c>
      <c r="B133" s="130">
        <f>'THONG KE'!C138</f>
        <v>0</v>
      </c>
      <c r="C133" s="151">
        <f>VLOOKUP(A133,'THONG KE'!$B$7:$AC$200,28,0)</f>
        <v>0</v>
      </c>
      <c r="D133" s="101"/>
      <c r="E133" s="101"/>
      <c r="F133" s="101"/>
    </row>
    <row r="134" spans="1:6" s="123" customFormat="1" ht="15.75" hidden="1" customHeight="1">
      <c r="A134" s="130">
        <f>'THONG KE'!B139</f>
        <v>0</v>
      </c>
      <c r="B134" s="130">
        <f>'THONG KE'!C139</f>
        <v>0</v>
      </c>
      <c r="C134" s="151">
        <f>VLOOKUP(A134,'THONG KE'!$B$7:$AC$200,28,0)</f>
        <v>0</v>
      </c>
      <c r="D134" s="101"/>
      <c r="E134" s="101"/>
      <c r="F134" s="101"/>
    </row>
    <row r="135" spans="1:6" s="123" customFormat="1" ht="15.75" hidden="1" customHeight="1">
      <c r="A135" s="130">
        <f>'THONG KE'!B140</f>
        <v>0</v>
      </c>
      <c r="B135" s="130">
        <f>'THONG KE'!C140</f>
        <v>0</v>
      </c>
      <c r="C135" s="151">
        <f>VLOOKUP(A135,'THONG KE'!$B$7:$AC$200,28,0)</f>
        <v>0</v>
      </c>
      <c r="D135" s="101"/>
      <c r="E135" s="101"/>
      <c r="F135" s="101"/>
    </row>
    <row r="136" spans="1:6" s="123" customFormat="1" ht="15.75" hidden="1" customHeight="1">
      <c r="A136" s="130">
        <f>'THONG KE'!B141</f>
        <v>0</v>
      </c>
      <c r="B136" s="130">
        <f>'THONG KE'!C141</f>
        <v>0</v>
      </c>
      <c r="C136" s="151">
        <f>VLOOKUP(A136,'THONG KE'!$B$7:$AC$200,28,0)</f>
        <v>0</v>
      </c>
      <c r="D136" s="101"/>
      <c r="E136" s="101"/>
      <c r="F136" s="101"/>
    </row>
    <row r="137" spans="1:6" s="123" customFormat="1" ht="15.75" hidden="1" customHeight="1">
      <c r="A137" s="130">
        <f>'THONG KE'!B142</f>
        <v>0</v>
      </c>
      <c r="B137" s="130">
        <f>'THONG KE'!C142</f>
        <v>0</v>
      </c>
      <c r="C137" s="151">
        <f>VLOOKUP(A137,'THONG KE'!$B$7:$AC$200,28,0)</f>
        <v>0</v>
      </c>
      <c r="D137" s="101"/>
      <c r="E137" s="101"/>
      <c r="F137" s="101"/>
    </row>
    <row r="138" spans="1:6" s="123" customFormat="1" ht="15.75" hidden="1" customHeight="1">
      <c r="A138" s="130">
        <f>'THONG KE'!B143</f>
        <v>0</v>
      </c>
      <c r="B138" s="130">
        <f>'THONG KE'!C143</f>
        <v>0</v>
      </c>
      <c r="C138" s="151">
        <f>VLOOKUP(A138,'THONG KE'!$B$7:$AC$200,28,0)</f>
        <v>0</v>
      </c>
      <c r="D138" s="101"/>
      <c r="E138" s="101"/>
      <c r="F138" s="101"/>
    </row>
    <row r="139" spans="1:6" s="123" customFormat="1" ht="15.75" hidden="1" customHeight="1">
      <c r="A139" s="130">
        <f>'THONG KE'!B144</f>
        <v>0</v>
      </c>
      <c r="B139" s="130">
        <f>'THONG KE'!C144</f>
        <v>0</v>
      </c>
      <c r="C139" s="151">
        <f>VLOOKUP(A139,'THONG KE'!$B$7:$AC$200,28,0)</f>
        <v>0</v>
      </c>
      <c r="D139" s="101"/>
      <c r="E139" s="101"/>
      <c r="F139" s="101"/>
    </row>
    <row r="140" spans="1:6" s="123" customFormat="1" ht="15.75" hidden="1" customHeight="1">
      <c r="A140" s="130">
        <f>'THONG KE'!B145</f>
        <v>0</v>
      </c>
      <c r="B140" s="130">
        <f>'THONG KE'!C145</f>
        <v>0</v>
      </c>
      <c r="C140" s="151">
        <f>VLOOKUP(A140,'THONG KE'!$B$7:$AC$200,28,0)</f>
        <v>0</v>
      </c>
      <c r="D140" s="101"/>
      <c r="E140" s="101"/>
      <c r="F140" s="101"/>
    </row>
    <row r="141" spans="1:6" s="123" customFormat="1" ht="15.75" hidden="1" customHeight="1">
      <c r="A141" s="130">
        <f>'THONG KE'!B146</f>
        <v>0</v>
      </c>
      <c r="B141" s="130">
        <f>'THONG KE'!C146</f>
        <v>0</v>
      </c>
      <c r="C141" s="151">
        <f>VLOOKUP(A141,'THONG KE'!$B$7:$AC$200,28,0)</f>
        <v>0</v>
      </c>
      <c r="D141" s="101"/>
      <c r="E141" s="101"/>
      <c r="F141" s="101"/>
    </row>
    <row r="142" spans="1:6" s="123" customFormat="1" ht="15.75" hidden="1" customHeight="1">
      <c r="A142" s="130">
        <f>'THONG KE'!B147</f>
        <v>0</v>
      </c>
      <c r="B142" s="130">
        <f>'THONG KE'!C147</f>
        <v>0</v>
      </c>
      <c r="C142" s="151">
        <f>VLOOKUP(A142,'THONG KE'!$B$7:$AC$200,28,0)</f>
        <v>0</v>
      </c>
      <c r="D142" s="101"/>
      <c r="E142" s="101"/>
      <c r="F142" s="101"/>
    </row>
    <row r="143" spans="1:6" s="123" customFormat="1" ht="15.75" hidden="1" customHeight="1">
      <c r="A143" s="130">
        <f>'THONG KE'!B148</f>
        <v>0</v>
      </c>
      <c r="B143" s="130">
        <f>'THONG KE'!C148</f>
        <v>0</v>
      </c>
      <c r="C143" s="151">
        <f>VLOOKUP(A143,'THONG KE'!$B$7:$AC$200,28,0)</f>
        <v>0</v>
      </c>
      <c r="D143" s="101"/>
      <c r="E143" s="101"/>
      <c r="F143" s="101"/>
    </row>
    <row r="144" spans="1:6" s="123" customFormat="1" ht="15.75" hidden="1" customHeight="1">
      <c r="A144" s="130">
        <f>'THONG KE'!B149</f>
        <v>0</v>
      </c>
      <c r="B144" s="130">
        <f>'THONG KE'!C149</f>
        <v>0</v>
      </c>
      <c r="C144" s="151">
        <f>VLOOKUP(A144,'THONG KE'!$B$7:$AC$200,28,0)</f>
        <v>0</v>
      </c>
      <c r="D144" s="101"/>
      <c r="E144" s="101"/>
      <c r="F144" s="101"/>
    </row>
    <row r="145" spans="1:6" s="123" customFormat="1" ht="15.75" hidden="1" customHeight="1">
      <c r="A145" s="130">
        <f>'THONG KE'!B150</f>
        <v>0</v>
      </c>
      <c r="B145" s="130">
        <f>'THONG KE'!C150</f>
        <v>0</v>
      </c>
      <c r="C145" s="151">
        <f>VLOOKUP(A145,'THONG KE'!$B$7:$AC$200,28,0)</f>
        <v>0</v>
      </c>
      <c r="D145" s="101"/>
      <c r="E145" s="101"/>
      <c r="F145" s="101"/>
    </row>
    <row r="146" spans="1:6" s="123" customFormat="1" ht="15.75" hidden="1" customHeight="1">
      <c r="A146" s="130">
        <f>'THONG KE'!B151</f>
        <v>0</v>
      </c>
      <c r="B146" s="130">
        <f>'THONG KE'!C151</f>
        <v>0</v>
      </c>
      <c r="C146" s="151">
        <f>VLOOKUP(A146,'THONG KE'!$B$7:$AC$200,28,0)</f>
        <v>0</v>
      </c>
      <c r="D146" s="101"/>
      <c r="E146" s="101"/>
      <c r="F146" s="101"/>
    </row>
    <row r="147" spans="1:6" s="123" customFormat="1" ht="15.75" hidden="1" customHeight="1">
      <c r="A147" s="130">
        <f>'THONG KE'!B152</f>
        <v>0</v>
      </c>
      <c r="B147" s="130">
        <f>'THONG KE'!C152</f>
        <v>0</v>
      </c>
      <c r="C147" s="151">
        <f>VLOOKUP(A147,'THONG KE'!$B$7:$AC$200,28,0)</f>
        <v>0</v>
      </c>
      <c r="D147" s="101"/>
      <c r="E147" s="101"/>
      <c r="F147" s="101"/>
    </row>
    <row r="148" spans="1:6" s="123" customFormat="1" ht="15.75" hidden="1" customHeight="1">
      <c r="A148" s="130">
        <f>'THONG KE'!B153</f>
        <v>0</v>
      </c>
      <c r="B148" s="130">
        <f>'THONG KE'!C153</f>
        <v>0</v>
      </c>
      <c r="C148" s="151">
        <f>VLOOKUP(A148,'THONG KE'!$B$7:$AC$200,28,0)</f>
        <v>0</v>
      </c>
      <c r="D148" s="101"/>
      <c r="E148" s="101"/>
      <c r="F148" s="101"/>
    </row>
    <row r="149" spans="1:6" s="123" customFormat="1" ht="15.75" hidden="1" customHeight="1">
      <c r="A149" s="130">
        <f>'THONG KE'!B154</f>
        <v>0</v>
      </c>
      <c r="B149" s="130">
        <f>'THONG KE'!C154</f>
        <v>0</v>
      </c>
      <c r="C149" s="151">
        <f>VLOOKUP(A149,'THONG KE'!$B$7:$AC$200,28,0)</f>
        <v>0</v>
      </c>
      <c r="D149" s="101"/>
      <c r="E149" s="101"/>
      <c r="F149" s="101"/>
    </row>
    <row r="150" spans="1:6" s="123" customFormat="1" ht="15.75" hidden="1" customHeight="1">
      <c r="A150" s="130">
        <f>'THONG KE'!B155</f>
        <v>0</v>
      </c>
      <c r="B150" s="130">
        <f>'THONG KE'!C155</f>
        <v>0</v>
      </c>
      <c r="C150" s="151">
        <f>VLOOKUP(A150,'THONG KE'!$B$7:$AC$200,28,0)</f>
        <v>0</v>
      </c>
      <c r="D150" s="101"/>
      <c r="E150" s="101"/>
      <c r="F150" s="101"/>
    </row>
    <row r="151" spans="1:6" s="123" customFormat="1" ht="15.75" hidden="1" customHeight="1">
      <c r="A151" s="130">
        <f>'THONG KE'!B156</f>
        <v>0</v>
      </c>
      <c r="B151" s="130">
        <f>'THONG KE'!C156</f>
        <v>0</v>
      </c>
      <c r="C151" s="151">
        <f>VLOOKUP(A151,'THONG KE'!$B$7:$AC$200,28,0)</f>
        <v>0</v>
      </c>
      <c r="D151" s="101"/>
      <c r="E151" s="101"/>
      <c r="F151" s="101"/>
    </row>
    <row r="152" spans="1:6" s="123" customFormat="1" ht="15.75" hidden="1" customHeight="1">
      <c r="A152" s="130">
        <f>'THONG KE'!B157</f>
        <v>0</v>
      </c>
      <c r="B152" s="130">
        <f>'THONG KE'!C157</f>
        <v>0</v>
      </c>
      <c r="C152" s="151">
        <f>VLOOKUP(A152,'THONG KE'!$B$7:$AC$200,28,0)</f>
        <v>0</v>
      </c>
      <c r="D152" s="101"/>
      <c r="E152" s="101"/>
      <c r="F152" s="101"/>
    </row>
    <row r="153" spans="1:6" s="123" customFormat="1" ht="15.75" hidden="1" customHeight="1">
      <c r="A153" s="130">
        <f>'THONG KE'!B158</f>
        <v>0</v>
      </c>
      <c r="B153" s="130">
        <f>'THONG KE'!C158</f>
        <v>0</v>
      </c>
      <c r="C153" s="151">
        <f>VLOOKUP(A153,'THONG KE'!$B$7:$AC$200,28,0)</f>
        <v>0</v>
      </c>
      <c r="D153" s="101"/>
      <c r="E153" s="101"/>
      <c r="F153" s="101"/>
    </row>
    <row r="154" spans="1:6" s="123" customFormat="1" ht="15.75" hidden="1" customHeight="1">
      <c r="A154" s="130">
        <f>'THONG KE'!B159</f>
        <v>0</v>
      </c>
      <c r="B154" s="130">
        <f>'THONG KE'!C159</f>
        <v>0</v>
      </c>
      <c r="C154" s="151">
        <f>VLOOKUP(A154,'THONG KE'!$B$7:$AC$200,28,0)</f>
        <v>0</v>
      </c>
      <c r="D154" s="101"/>
      <c r="E154" s="101"/>
      <c r="F154" s="101"/>
    </row>
    <row r="155" spans="1:6" s="123" customFormat="1" ht="15.75" hidden="1" customHeight="1">
      <c r="A155" s="130">
        <f>'THONG KE'!B160</f>
        <v>0</v>
      </c>
      <c r="B155" s="130">
        <f>'THONG KE'!C160</f>
        <v>0</v>
      </c>
      <c r="C155" s="151">
        <f>VLOOKUP(A155,'THONG KE'!$B$7:$AC$200,28,0)</f>
        <v>0</v>
      </c>
      <c r="D155" s="101"/>
      <c r="E155" s="101"/>
      <c r="F155" s="101"/>
    </row>
    <row r="156" spans="1:6" s="123" customFormat="1" ht="15.75" hidden="1" customHeight="1">
      <c r="A156" s="130">
        <f>'THONG KE'!B161</f>
        <v>0</v>
      </c>
      <c r="B156" s="130">
        <f>'THONG KE'!C161</f>
        <v>0</v>
      </c>
      <c r="C156" s="151">
        <f>VLOOKUP(A156,'THONG KE'!$B$7:$AC$200,28,0)</f>
        <v>0</v>
      </c>
      <c r="D156" s="101"/>
      <c r="E156" s="101"/>
      <c r="F156" s="101"/>
    </row>
    <row r="157" spans="1:6" s="123" customFormat="1" ht="15.75" hidden="1" customHeight="1">
      <c r="A157" s="130">
        <f>'THONG KE'!B162</f>
        <v>0</v>
      </c>
      <c r="B157" s="130">
        <f>'THONG KE'!C162</f>
        <v>0</v>
      </c>
      <c r="C157" s="151">
        <f>VLOOKUP(A157,'THONG KE'!$B$7:$AC$200,28,0)</f>
        <v>0</v>
      </c>
      <c r="D157" s="101"/>
      <c r="E157" s="101"/>
      <c r="F157" s="101"/>
    </row>
    <row r="158" spans="1:6" s="123" customFormat="1" ht="15.75" hidden="1" customHeight="1">
      <c r="A158" s="130">
        <f>'THONG KE'!B163</f>
        <v>0</v>
      </c>
      <c r="B158" s="130">
        <f>'THONG KE'!C163</f>
        <v>0</v>
      </c>
      <c r="C158" s="151">
        <f>VLOOKUP(A158,'THONG KE'!$B$7:$AC$200,28,0)</f>
        <v>0</v>
      </c>
      <c r="D158" s="101"/>
      <c r="E158" s="101"/>
      <c r="F158" s="101"/>
    </row>
    <row r="159" spans="1:6" s="123" customFormat="1" ht="15.75" hidden="1" customHeight="1">
      <c r="A159" s="130">
        <f>'THONG KE'!B164</f>
        <v>0</v>
      </c>
      <c r="B159" s="130">
        <f>'THONG KE'!C164</f>
        <v>0</v>
      </c>
      <c r="C159" s="151">
        <f>VLOOKUP(A159,'THONG KE'!$B$7:$AC$200,28,0)</f>
        <v>0</v>
      </c>
      <c r="D159" s="101"/>
      <c r="E159" s="101"/>
      <c r="F159" s="101"/>
    </row>
    <row r="160" spans="1:6" s="123" customFormat="1" ht="15.75" hidden="1" customHeight="1">
      <c r="A160" s="130">
        <f>'THONG KE'!B165</f>
        <v>0</v>
      </c>
      <c r="B160" s="130">
        <f>'THONG KE'!C165</f>
        <v>0</v>
      </c>
      <c r="C160" s="151">
        <f>VLOOKUP(A160,'THONG KE'!$B$7:$AC$200,28,0)</f>
        <v>0</v>
      </c>
      <c r="D160" s="101"/>
      <c r="E160" s="101"/>
      <c r="F160" s="101"/>
    </row>
    <row r="161" spans="1:6" s="123" customFormat="1" ht="15.75" hidden="1" customHeight="1">
      <c r="A161" s="130">
        <f>'THONG KE'!B166</f>
        <v>0</v>
      </c>
      <c r="B161" s="130">
        <f>'THONG KE'!C166</f>
        <v>0</v>
      </c>
      <c r="C161" s="151">
        <f>VLOOKUP(A161,'THONG KE'!$B$7:$AC$200,28,0)</f>
        <v>0</v>
      </c>
      <c r="D161" s="101"/>
      <c r="E161" s="101"/>
      <c r="F161" s="101"/>
    </row>
    <row r="162" spans="1:6" s="123" customFormat="1" ht="15.75" hidden="1" customHeight="1">
      <c r="A162" s="130">
        <f>'THONG KE'!B167</f>
        <v>0</v>
      </c>
      <c r="B162" s="130">
        <f>'THONG KE'!C167</f>
        <v>0</v>
      </c>
      <c r="C162" s="151">
        <f>VLOOKUP(A162,'THONG KE'!$B$7:$AC$200,28,0)</f>
        <v>0</v>
      </c>
      <c r="D162" s="101"/>
      <c r="E162" s="101"/>
      <c r="F162" s="101"/>
    </row>
    <row r="163" spans="1:6" s="123" customFormat="1" ht="15.75" hidden="1" customHeight="1">
      <c r="A163" s="130">
        <f>'THONG KE'!B168</f>
        <v>0</v>
      </c>
      <c r="B163" s="130">
        <f>'THONG KE'!C168</f>
        <v>0</v>
      </c>
      <c r="C163" s="151">
        <f>VLOOKUP(A163,'THONG KE'!$B$7:$AC$200,28,0)</f>
        <v>0</v>
      </c>
      <c r="D163" s="101"/>
      <c r="E163" s="101"/>
      <c r="F163" s="101"/>
    </row>
    <row r="164" spans="1:6" s="123" customFormat="1" ht="15.75" hidden="1" customHeight="1">
      <c r="A164" s="130">
        <f>'THONG KE'!B169</f>
        <v>0</v>
      </c>
      <c r="B164" s="130">
        <f>'THONG KE'!C169</f>
        <v>0</v>
      </c>
      <c r="C164" s="151">
        <f>VLOOKUP(A164,'THONG KE'!$B$7:$AC$200,28,0)</f>
        <v>0</v>
      </c>
      <c r="D164" s="101"/>
      <c r="E164" s="101"/>
      <c r="F164" s="101"/>
    </row>
    <row r="165" spans="1:6" s="123" customFormat="1" ht="15.75" hidden="1" customHeight="1">
      <c r="A165" s="130">
        <f>'THONG KE'!B170</f>
        <v>0</v>
      </c>
      <c r="B165" s="130">
        <f>'THONG KE'!C170</f>
        <v>0</v>
      </c>
      <c r="C165" s="151">
        <f>VLOOKUP(A165,'THONG KE'!$B$7:$AC$200,28,0)</f>
        <v>0</v>
      </c>
      <c r="D165" s="101"/>
      <c r="E165" s="101"/>
      <c r="F165" s="101"/>
    </row>
    <row r="166" spans="1:6" s="123" customFormat="1" ht="15.75" hidden="1" customHeight="1">
      <c r="A166" s="130">
        <f>'THONG KE'!B171</f>
        <v>0</v>
      </c>
      <c r="B166" s="130">
        <f>'THONG KE'!C171</f>
        <v>0</v>
      </c>
      <c r="C166" s="151">
        <f>VLOOKUP(A166,'THONG KE'!$B$7:$AC$200,28,0)</f>
        <v>0</v>
      </c>
      <c r="D166" s="101"/>
      <c r="E166" s="101"/>
      <c r="F166" s="101"/>
    </row>
    <row r="167" spans="1:6" s="123" customFormat="1" ht="15.75" hidden="1" customHeight="1">
      <c r="A167" s="130">
        <f>'THONG KE'!B172</f>
        <v>0</v>
      </c>
      <c r="B167" s="130">
        <f>'THONG KE'!C172</f>
        <v>0</v>
      </c>
      <c r="C167" s="151">
        <f>VLOOKUP(A167,'THONG KE'!$B$7:$AC$200,28,0)</f>
        <v>0</v>
      </c>
      <c r="D167" s="101"/>
      <c r="E167" s="101"/>
      <c r="F167" s="101"/>
    </row>
    <row r="168" spans="1:6" s="123" customFormat="1" ht="15.75" hidden="1" customHeight="1">
      <c r="A168" s="130">
        <f>'THONG KE'!B173</f>
        <v>0</v>
      </c>
      <c r="B168" s="130">
        <f>'THONG KE'!C173</f>
        <v>0</v>
      </c>
      <c r="C168" s="151">
        <f>VLOOKUP(A168,'THONG KE'!$B$7:$AC$200,28,0)</f>
        <v>0</v>
      </c>
      <c r="D168" s="101"/>
      <c r="E168" s="101"/>
      <c r="F168" s="101"/>
    </row>
    <row r="169" spans="1:6" s="123" customFormat="1" ht="15.75" hidden="1" customHeight="1">
      <c r="A169" s="130">
        <f>'THONG KE'!B174</f>
        <v>0</v>
      </c>
      <c r="B169" s="130">
        <f>'THONG KE'!C174</f>
        <v>0</v>
      </c>
      <c r="C169" s="151">
        <f>VLOOKUP(A169,'THONG KE'!$B$7:$AC$200,28,0)</f>
        <v>0</v>
      </c>
      <c r="D169" s="101"/>
      <c r="E169" s="101"/>
      <c r="F169" s="101"/>
    </row>
    <row r="170" spans="1:6" s="123" customFormat="1" ht="15.75" hidden="1" customHeight="1">
      <c r="A170" s="130">
        <f>'THONG KE'!B175</f>
        <v>0</v>
      </c>
      <c r="B170" s="130">
        <f>'THONG KE'!C175</f>
        <v>0</v>
      </c>
      <c r="C170" s="151">
        <f>VLOOKUP(A170,'THONG KE'!$B$7:$AC$200,28,0)</f>
        <v>0</v>
      </c>
      <c r="D170" s="101"/>
      <c r="E170" s="101"/>
      <c r="F170" s="101"/>
    </row>
    <row r="171" spans="1:6" s="123" customFormat="1" ht="15.75" hidden="1" customHeight="1">
      <c r="A171" s="130">
        <f>'THONG KE'!B176</f>
        <v>0</v>
      </c>
      <c r="B171" s="130">
        <f>'THONG KE'!C176</f>
        <v>0</v>
      </c>
      <c r="C171" s="151">
        <f>VLOOKUP(A171,'THONG KE'!$B$7:$AC$200,28,0)</f>
        <v>0</v>
      </c>
      <c r="D171" s="101"/>
      <c r="E171" s="101"/>
      <c r="F171" s="101"/>
    </row>
    <row r="172" spans="1:6" s="123" customFormat="1" ht="15.75" hidden="1" customHeight="1">
      <c r="A172" s="130">
        <f>'THONG KE'!B177</f>
        <v>0</v>
      </c>
      <c r="B172" s="130">
        <f>'THONG KE'!C177</f>
        <v>0</v>
      </c>
      <c r="C172" s="151">
        <f>VLOOKUP(A172,'THONG KE'!$B$7:$AC$200,28,0)</f>
        <v>0</v>
      </c>
      <c r="D172" s="101"/>
      <c r="E172" s="101"/>
      <c r="F172" s="101"/>
    </row>
    <row r="173" spans="1:6" s="123" customFormat="1" ht="15.75" hidden="1" customHeight="1">
      <c r="A173" s="130">
        <f>'THONG KE'!B178</f>
        <v>0</v>
      </c>
      <c r="B173" s="130">
        <f>'THONG KE'!C178</f>
        <v>0</v>
      </c>
      <c r="C173" s="151">
        <f>VLOOKUP(A173,'THONG KE'!$B$7:$AC$200,28,0)</f>
        <v>0</v>
      </c>
      <c r="D173" s="101"/>
      <c r="E173" s="101"/>
      <c r="F173" s="101"/>
    </row>
    <row r="174" spans="1:6" s="123" customFormat="1" ht="15.75" hidden="1" customHeight="1">
      <c r="A174" s="130">
        <f>'THONG KE'!B179</f>
        <v>0</v>
      </c>
      <c r="B174" s="130">
        <f>'THONG KE'!C179</f>
        <v>0</v>
      </c>
      <c r="C174" s="151">
        <f>VLOOKUP(A174,'THONG KE'!$B$7:$AC$200,28,0)</f>
        <v>0</v>
      </c>
      <c r="D174" s="101"/>
      <c r="E174" s="101"/>
      <c r="F174" s="101"/>
    </row>
    <row r="175" spans="1:6" s="123" customFormat="1" ht="15.75" hidden="1" customHeight="1">
      <c r="A175" s="130">
        <f>'THONG KE'!B180</f>
        <v>0</v>
      </c>
      <c r="B175" s="130">
        <f>'THONG KE'!C180</f>
        <v>0</v>
      </c>
      <c r="C175" s="151">
        <f>VLOOKUP(A175,'THONG KE'!$B$7:$AC$200,28,0)</f>
        <v>0</v>
      </c>
      <c r="D175" s="101"/>
      <c r="E175" s="101"/>
      <c r="F175" s="101"/>
    </row>
    <row r="176" spans="1:6" s="123" customFormat="1" ht="15.75" hidden="1" customHeight="1">
      <c r="A176" s="130">
        <f>'THONG KE'!B181</f>
        <v>0</v>
      </c>
      <c r="B176" s="130">
        <f>'THONG KE'!C181</f>
        <v>0</v>
      </c>
      <c r="C176" s="151">
        <f>VLOOKUP(A176,'THONG KE'!$B$7:$AC$200,28,0)</f>
        <v>0</v>
      </c>
      <c r="D176" s="101"/>
      <c r="E176" s="101"/>
      <c r="F176" s="101"/>
    </row>
    <row r="177" spans="1:6" s="123" customFormat="1" ht="15.75" hidden="1" customHeight="1">
      <c r="A177" s="130">
        <f>'THONG KE'!B182</f>
        <v>0</v>
      </c>
      <c r="B177" s="130">
        <f>'THONG KE'!C182</f>
        <v>0</v>
      </c>
      <c r="C177" s="151">
        <f>VLOOKUP(A177,'THONG KE'!$B$7:$AC$200,28,0)</f>
        <v>0</v>
      </c>
      <c r="D177" s="101"/>
      <c r="E177" s="101"/>
      <c r="F177" s="101"/>
    </row>
    <row r="178" spans="1:6" s="123" customFormat="1" ht="15.75" hidden="1" customHeight="1">
      <c r="A178" s="130">
        <f>'THONG KE'!B183</f>
        <v>0</v>
      </c>
      <c r="B178" s="130">
        <f>'THONG KE'!C183</f>
        <v>0</v>
      </c>
      <c r="C178" s="151">
        <f>VLOOKUP(A178,'THONG KE'!$B$7:$AC$200,28,0)</f>
        <v>0</v>
      </c>
      <c r="D178" s="101"/>
      <c r="E178" s="101"/>
      <c r="F178" s="101"/>
    </row>
    <row r="179" spans="1:6" s="123" customFormat="1" ht="15.75" hidden="1" customHeight="1">
      <c r="A179" s="130">
        <f>'THONG KE'!B184</f>
        <v>0</v>
      </c>
      <c r="B179" s="130">
        <f>'THONG KE'!C184</f>
        <v>0</v>
      </c>
      <c r="C179" s="151">
        <f>VLOOKUP(A179,'THONG KE'!$B$7:$AC$200,28,0)</f>
        <v>0</v>
      </c>
      <c r="D179" s="101"/>
      <c r="E179" s="101"/>
      <c r="F179" s="101"/>
    </row>
    <row r="180" spans="1:6" s="123" customFormat="1" ht="15.75" hidden="1" customHeight="1">
      <c r="A180" s="130">
        <f>'THONG KE'!B185</f>
        <v>0</v>
      </c>
      <c r="B180" s="130">
        <f>'THONG KE'!C185</f>
        <v>0</v>
      </c>
      <c r="C180" s="151">
        <f>VLOOKUP(A180,'THONG KE'!$B$7:$AC$200,28,0)</f>
        <v>0</v>
      </c>
      <c r="D180" s="101"/>
      <c r="E180" s="101"/>
      <c r="F180" s="101"/>
    </row>
    <row r="181" spans="1:6" s="123" customFormat="1" ht="15.75" hidden="1" customHeight="1">
      <c r="A181" s="130">
        <f>'THONG KE'!B186</f>
        <v>0</v>
      </c>
      <c r="B181" s="130">
        <f>'THONG KE'!C186</f>
        <v>0</v>
      </c>
      <c r="C181" s="151">
        <f>VLOOKUP(A181,'THONG KE'!$B$7:$AC$200,28,0)</f>
        <v>0</v>
      </c>
      <c r="D181" s="101"/>
      <c r="E181" s="101"/>
      <c r="F181" s="101"/>
    </row>
    <row r="182" spans="1:6" s="123" customFormat="1" ht="15.75" hidden="1" customHeight="1">
      <c r="A182" s="130">
        <f>'THONG KE'!B187</f>
        <v>0</v>
      </c>
      <c r="B182" s="130">
        <f>'THONG KE'!C187</f>
        <v>0</v>
      </c>
      <c r="C182" s="151">
        <f>VLOOKUP(A182,'THONG KE'!$B$7:$AC$200,28,0)</f>
        <v>0</v>
      </c>
      <c r="D182" s="101"/>
      <c r="E182" s="101"/>
      <c r="F182" s="101"/>
    </row>
    <row r="183" spans="1:6" s="123" customFormat="1" ht="15.75" hidden="1" customHeight="1">
      <c r="A183" s="130">
        <f>'THONG KE'!B188</f>
        <v>0</v>
      </c>
      <c r="B183" s="130">
        <f>'THONG KE'!C188</f>
        <v>0</v>
      </c>
      <c r="C183" s="151">
        <f>VLOOKUP(A183,'THONG KE'!$B$7:$AC$200,28,0)</f>
        <v>0</v>
      </c>
      <c r="D183" s="101"/>
      <c r="E183" s="101"/>
      <c r="F183" s="101"/>
    </row>
    <row r="184" spans="1:6" s="123" customFormat="1" ht="15.75" hidden="1" customHeight="1">
      <c r="A184" s="130">
        <f>'THONG KE'!B189</f>
        <v>0</v>
      </c>
      <c r="B184" s="130">
        <f>'THONG KE'!C189</f>
        <v>0</v>
      </c>
      <c r="C184" s="151">
        <f>VLOOKUP(A184,'THONG KE'!$B$7:$AC$200,28,0)</f>
        <v>0</v>
      </c>
      <c r="D184" s="101"/>
      <c r="E184" s="101"/>
      <c r="F184" s="101"/>
    </row>
    <row r="185" spans="1:6" s="123" customFormat="1" ht="15.75" hidden="1" customHeight="1">
      <c r="A185" s="130">
        <f>'THONG KE'!B190</f>
        <v>0</v>
      </c>
      <c r="B185" s="130">
        <f>'THONG KE'!C190</f>
        <v>0</v>
      </c>
      <c r="C185" s="151">
        <f>VLOOKUP(A185,'THONG KE'!$B$7:$AC$200,28,0)</f>
        <v>0</v>
      </c>
      <c r="D185" s="101"/>
      <c r="E185" s="101"/>
      <c r="F185" s="101"/>
    </row>
    <row r="186" spans="1:6" s="123" customFormat="1" ht="15.75" hidden="1" customHeight="1">
      <c r="A186" s="130">
        <f>'THONG KE'!B191</f>
        <v>0</v>
      </c>
      <c r="B186" s="130">
        <f>'THONG KE'!C191</f>
        <v>0</v>
      </c>
      <c r="C186" s="151">
        <f>VLOOKUP(A186,'THONG KE'!$B$7:$AC$200,28,0)</f>
        <v>0</v>
      </c>
      <c r="D186" s="101"/>
      <c r="E186" s="101"/>
      <c r="F186" s="101"/>
    </row>
    <row r="187" spans="1:6" s="123" customFormat="1" ht="15.75" hidden="1" customHeight="1">
      <c r="A187" s="130">
        <f>'THONG KE'!B192</f>
        <v>0</v>
      </c>
      <c r="B187" s="130">
        <f>'THONG KE'!C192</f>
        <v>0</v>
      </c>
      <c r="C187" s="151">
        <f>VLOOKUP(A187,'THONG KE'!$B$7:$AC$200,28,0)</f>
        <v>0</v>
      </c>
      <c r="D187" s="101"/>
      <c r="E187" s="101"/>
      <c r="F187" s="101"/>
    </row>
    <row r="188" spans="1:6" s="123" customFormat="1" ht="15.75" hidden="1" customHeight="1">
      <c r="A188" s="130">
        <f>'THONG KE'!B193</f>
        <v>0</v>
      </c>
      <c r="B188" s="130">
        <f>'THONG KE'!C193</f>
        <v>0</v>
      </c>
      <c r="C188" s="151">
        <f>VLOOKUP(A188,'THONG KE'!$B$7:$AC$200,28,0)</f>
        <v>0</v>
      </c>
      <c r="D188" s="101"/>
      <c r="E188" s="101"/>
      <c r="F188" s="101"/>
    </row>
    <row r="189" spans="1:6" s="123" customFormat="1" ht="15.75" hidden="1" customHeight="1">
      <c r="A189" s="130">
        <f>'THONG KE'!B194</f>
        <v>0</v>
      </c>
      <c r="B189" s="130">
        <f>'THONG KE'!C194</f>
        <v>0</v>
      </c>
      <c r="C189" s="151">
        <f>VLOOKUP(A189,'THONG KE'!$B$7:$AC$200,28,0)</f>
        <v>0</v>
      </c>
      <c r="D189" s="101"/>
      <c r="E189" s="101"/>
      <c r="F189" s="101"/>
    </row>
    <row r="190" spans="1:6" s="123" customFormat="1" ht="15.75" hidden="1" customHeight="1">
      <c r="A190" s="130">
        <f>'THONG KE'!B195</f>
        <v>0</v>
      </c>
      <c r="B190" s="130">
        <f>'THONG KE'!C195</f>
        <v>0</v>
      </c>
      <c r="C190" s="151">
        <f>VLOOKUP(A190,'THONG KE'!$B$7:$AC$200,28,0)</f>
        <v>0</v>
      </c>
      <c r="D190" s="101"/>
      <c r="E190" s="101"/>
      <c r="F190" s="101"/>
    </row>
    <row r="191" spans="1:6" s="123" customFormat="1" ht="15.75" hidden="1" customHeight="1">
      <c r="A191" s="130">
        <f>'THONG KE'!B196</f>
        <v>0</v>
      </c>
      <c r="B191" s="130">
        <f>'THONG KE'!C196</f>
        <v>0</v>
      </c>
      <c r="C191" s="151">
        <f>VLOOKUP(A191,'THONG KE'!$B$7:$AC$200,28,0)</f>
        <v>0</v>
      </c>
      <c r="D191" s="101"/>
      <c r="E191" s="101"/>
      <c r="F191" s="101"/>
    </row>
    <row r="192" spans="1:6" s="123" customFormat="1" ht="15.75" hidden="1" customHeight="1">
      <c r="A192" s="130">
        <f>'THONG KE'!B197</f>
        <v>0</v>
      </c>
      <c r="B192" s="130">
        <f>'THONG KE'!C197</f>
        <v>0</v>
      </c>
      <c r="C192" s="151">
        <f>VLOOKUP(A192,'THONG KE'!$B$7:$AC$200,28,0)</f>
        <v>0</v>
      </c>
      <c r="D192" s="101"/>
      <c r="E192" s="101"/>
      <c r="F192" s="101"/>
    </row>
    <row r="193" spans="1:242">
      <c r="A193" s="166"/>
      <c r="B193" s="167"/>
      <c r="C193" s="167"/>
      <c r="D193" s="167"/>
      <c r="E193" s="245"/>
      <c r="F193" s="245"/>
      <c r="G193" s="91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  <c r="HB193"/>
      <c r="HC193"/>
      <c r="HD193"/>
      <c r="HE193"/>
      <c r="HF193"/>
      <c r="HG193"/>
      <c r="HH193"/>
      <c r="HI193"/>
      <c r="HJ193"/>
      <c r="HK193"/>
      <c r="HL193"/>
      <c r="HM193"/>
      <c r="HN193"/>
      <c r="HO193"/>
      <c r="HP193"/>
      <c r="HQ193"/>
      <c r="HR193"/>
      <c r="HS193"/>
      <c r="HT193"/>
      <c r="HU193"/>
      <c r="HV193"/>
      <c r="HW193"/>
      <c r="HX193"/>
      <c r="HY193"/>
      <c r="HZ193"/>
      <c r="IA193"/>
      <c r="IB193"/>
      <c r="IC193"/>
      <c r="ID193"/>
      <c r="IE193"/>
      <c r="IF193"/>
      <c r="IG193"/>
      <c r="IH193"/>
    </row>
    <row r="194" spans="1:242">
      <c r="A194" s="92"/>
      <c r="B194" s="92"/>
      <c r="C194" s="92"/>
      <c r="D194" s="172"/>
      <c r="E194" s="172"/>
      <c r="F194" s="172"/>
      <c r="G194" s="91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  <c r="HB194"/>
      <c r="HC194"/>
      <c r="HD194"/>
      <c r="HE194"/>
      <c r="HF194"/>
      <c r="HG194"/>
      <c r="HH194"/>
      <c r="HI194"/>
      <c r="HJ194"/>
      <c r="HK194"/>
      <c r="HL194"/>
      <c r="HM194"/>
      <c r="HN194"/>
      <c r="HO194"/>
      <c r="HP194"/>
      <c r="HQ194"/>
      <c r="HR194"/>
      <c r="HS194"/>
      <c r="HT194"/>
      <c r="HU194"/>
      <c r="HV194"/>
      <c r="HW194"/>
      <c r="HX194"/>
      <c r="HY194"/>
      <c r="HZ194"/>
      <c r="IA194"/>
      <c r="IB194"/>
      <c r="IC194"/>
      <c r="ID194"/>
      <c r="IE194"/>
      <c r="IF194"/>
      <c r="IG194"/>
      <c r="IH194"/>
    </row>
    <row r="195" spans="1:242">
      <c r="A195" s="90"/>
      <c r="B195" s="90"/>
      <c r="C195" s="90"/>
      <c r="D195" s="173"/>
      <c r="E195" s="173"/>
      <c r="F195" s="173"/>
      <c r="G195" s="91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  <c r="HB195"/>
      <c r="HC195"/>
      <c r="HD195"/>
      <c r="HE195"/>
      <c r="HF195"/>
      <c r="HG195"/>
      <c r="HH195"/>
      <c r="HI195"/>
      <c r="HJ195"/>
      <c r="HK195"/>
      <c r="HL195"/>
      <c r="HM195"/>
      <c r="HN195"/>
      <c r="HO195"/>
      <c r="HP195"/>
      <c r="HQ195"/>
      <c r="HR195"/>
      <c r="HS195"/>
      <c r="HT195"/>
      <c r="HU195"/>
      <c r="HV195"/>
      <c r="HW195"/>
      <c r="HX195"/>
      <c r="HY195"/>
      <c r="HZ195"/>
      <c r="IA195"/>
      <c r="IB195"/>
      <c r="IC195"/>
      <c r="ID195"/>
      <c r="IE195"/>
      <c r="IF195"/>
      <c r="IG195"/>
      <c r="IH195"/>
    </row>
    <row r="196" spans="1:242">
      <c r="A196" s="90"/>
      <c r="B196" s="90"/>
      <c r="C196" s="90"/>
      <c r="D196" s="173"/>
      <c r="E196" s="173"/>
      <c r="F196" s="173"/>
      <c r="G196" s="91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  <c r="HB196"/>
      <c r="HC196"/>
      <c r="HD196"/>
      <c r="HE196"/>
      <c r="HF196"/>
      <c r="HG196"/>
      <c r="HH196"/>
      <c r="HI196"/>
      <c r="HJ196"/>
      <c r="HK196"/>
      <c r="HL196"/>
      <c r="HM196"/>
      <c r="HN196"/>
      <c r="HO196"/>
      <c r="HP196"/>
      <c r="HQ196"/>
      <c r="HR196"/>
      <c r="HS196"/>
      <c r="HT196"/>
      <c r="HU196"/>
      <c r="HV196"/>
      <c r="HW196"/>
      <c r="HX196"/>
      <c r="HY196"/>
      <c r="HZ196"/>
      <c r="IA196"/>
      <c r="IB196"/>
      <c r="IC196"/>
      <c r="ID196"/>
      <c r="IE196"/>
      <c r="IF196"/>
      <c r="IG196"/>
      <c r="IH196"/>
    </row>
    <row r="197" spans="1:242">
      <c r="A197" s="90"/>
      <c r="B197" s="90"/>
      <c r="C197" s="90"/>
      <c r="D197" s="173"/>
      <c r="E197" s="173"/>
      <c r="F197" s="93"/>
      <c r="G197" s="93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  <c r="HB197"/>
      <c r="HC197"/>
      <c r="HD197"/>
      <c r="HE197"/>
      <c r="HF197"/>
      <c r="HG197"/>
      <c r="HH197"/>
      <c r="HI197"/>
      <c r="HJ197"/>
      <c r="HK197"/>
      <c r="HL197"/>
      <c r="HM197"/>
      <c r="HN197"/>
      <c r="HO197"/>
      <c r="HP197"/>
      <c r="HQ197"/>
      <c r="HR197"/>
      <c r="HS197"/>
      <c r="HT197"/>
      <c r="HU197"/>
      <c r="HV197"/>
      <c r="HW197"/>
      <c r="HX197"/>
      <c r="HY197"/>
      <c r="HZ197"/>
      <c r="IA197"/>
      <c r="IB197"/>
      <c r="IC197"/>
      <c r="ID197"/>
      <c r="IE197"/>
      <c r="IF197"/>
      <c r="IG197"/>
      <c r="IH197"/>
    </row>
    <row r="198" spans="1:242">
      <c r="A198" s="90"/>
      <c r="B198" s="90"/>
      <c r="C198" s="90"/>
      <c r="D198" s="173"/>
      <c r="E198" s="173"/>
      <c r="F198" s="172"/>
      <c r="G198" s="92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  <c r="HB198"/>
      <c r="HC198"/>
      <c r="HD198"/>
      <c r="HE198"/>
      <c r="HF198"/>
      <c r="HG198"/>
      <c r="HH198"/>
      <c r="HI198"/>
      <c r="HJ198"/>
      <c r="HK198"/>
      <c r="HL198"/>
      <c r="HM198"/>
      <c r="HN198"/>
      <c r="HO198"/>
      <c r="HP198"/>
      <c r="HQ198"/>
      <c r="HR198"/>
      <c r="HS198"/>
      <c r="HT198"/>
      <c r="HU198"/>
      <c r="HV198"/>
      <c r="HW198"/>
      <c r="HX198"/>
      <c r="HY198"/>
      <c r="HZ198"/>
      <c r="IA198"/>
      <c r="IB198"/>
      <c r="IC198"/>
      <c r="ID198"/>
      <c r="IE198"/>
      <c r="IF198"/>
      <c r="IG198"/>
      <c r="IH198"/>
    </row>
    <row r="199" spans="1:242" ht="29.25" customHeight="1">
      <c r="A199" s="168"/>
      <c r="B199" s="168"/>
      <c r="C199" s="168"/>
      <c r="D199" s="168"/>
      <c r="E199" s="168"/>
      <c r="F199" s="168"/>
      <c r="G199" s="94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  <c r="HB199"/>
      <c r="HC199"/>
      <c r="HD199"/>
      <c r="HE199"/>
      <c r="HF199"/>
      <c r="HG199"/>
      <c r="HH199"/>
      <c r="HI199"/>
      <c r="HJ199"/>
      <c r="HK199"/>
      <c r="HL199"/>
      <c r="HM199"/>
      <c r="HN199"/>
      <c r="HO199"/>
      <c r="HP199"/>
      <c r="HQ199"/>
      <c r="HR199"/>
      <c r="HS199"/>
      <c r="HT199"/>
      <c r="HU199"/>
      <c r="HV199"/>
      <c r="HW199"/>
      <c r="HX199"/>
      <c r="HY199"/>
      <c r="HZ199"/>
      <c r="IA199"/>
      <c r="IB199"/>
      <c r="IC199"/>
      <c r="ID199"/>
      <c r="IE199"/>
      <c r="IF199"/>
      <c r="IG199"/>
      <c r="IH199"/>
    </row>
    <row r="200" spans="1:242" ht="33" customHeight="1">
      <c r="A200" s="168"/>
      <c r="B200" s="168"/>
      <c r="C200" s="168"/>
      <c r="D200" s="168"/>
      <c r="E200" s="168"/>
      <c r="F200" s="168"/>
      <c r="G200" s="89"/>
      <c r="H200"/>
      <c r="I200"/>
      <c r="J200" s="89"/>
      <c r="K200" s="89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  <c r="HB200"/>
      <c r="HC200"/>
      <c r="HD200"/>
      <c r="HE200"/>
      <c r="HF200"/>
      <c r="HG200"/>
      <c r="HH200"/>
      <c r="HI200"/>
      <c r="HJ200"/>
      <c r="HK200"/>
      <c r="HL200"/>
      <c r="HM200"/>
      <c r="HN200"/>
      <c r="HO200"/>
      <c r="HP200"/>
      <c r="HQ200"/>
      <c r="HR200"/>
      <c r="HS200"/>
      <c r="HT200"/>
      <c r="HU200"/>
      <c r="HV200"/>
      <c r="HW200"/>
      <c r="HX200"/>
      <c r="HY200"/>
      <c r="HZ200"/>
      <c r="IA200"/>
      <c r="IB200"/>
      <c r="IC200"/>
      <c r="ID200"/>
      <c r="IE200"/>
      <c r="IF200"/>
      <c r="IG200"/>
      <c r="IH200"/>
    </row>
    <row r="201" spans="1:242" ht="15" customHeight="1">
      <c r="A201" s="89"/>
      <c r="B201" s="89"/>
      <c r="C201" s="89"/>
      <c r="D201" s="89"/>
      <c r="E201" s="89"/>
      <c r="F201" s="89"/>
      <c r="G201" s="89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  <c r="HB201"/>
      <c r="HC201"/>
      <c r="HD201"/>
      <c r="HE201"/>
      <c r="HF201"/>
      <c r="HG201"/>
      <c r="HH201"/>
      <c r="HI201"/>
      <c r="HJ201"/>
      <c r="HK201"/>
      <c r="HL201"/>
      <c r="HM201"/>
      <c r="HN201"/>
      <c r="HO201"/>
      <c r="HP201"/>
      <c r="HQ201"/>
      <c r="HR201"/>
      <c r="HS201"/>
      <c r="HT201"/>
      <c r="HU201"/>
      <c r="HV201"/>
      <c r="HW201"/>
      <c r="HX201"/>
      <c r="HY201"/>
      <c r="HZ201"/>
      <c r="IA201"/>
      <c r="IB201"/>
      <c r="IC201"/>
      <c r="ID201"/>
      <c r="IE201"/>
      <c r="IF201"/>
      <c r="IG201"/>
      <c r="IH201"/>
    </row>
    <row r="202" spans="1:242"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  <c r="HB202"/>
      <c r="HC202"/>
      <c r="HD202"/>
      <c r="HE202"/>
      <c r="HF202"/>
      <c r="HG202"/>
      <c r="HH202"/>
      <c r="HI202"/>
      <c r="HJ202"/>
      <c r="HK202"/>
      <c r="HL202"/>
      <c r="HM202"/>
      <c r="HN202"/>
      <c r="HO202"/>
      <c r="HP202"/>
      <c r="HQ202"/>
      <c r="HR202"/>
      <c r="HS202"/>
      <c r="HT202"/>
      <c r="HU202"/>
      <c r="HV202"/>
      <c r="HW202"/>
      <c r="HX202"/>
      <c r="HY202"/>
      <c r="HZ202"/>
      <c r="IA202"/>
      <c r="IB202"/>
      <c r="IC202"/>
      <c r="ID202"/>
      <c r="IE202"/>
      <c r="IF202"/>
      <c r="IG202"/>
      <c r="IH202"/>
    </row>
  </sheetData>
  <autoFilter ref="A1:C192">
    <filterColumn colId="2">
      <customFilters>
        <customFilter operator="greaterThan" val="0"/>
      </customFilters>
    </filterColumn>
  </autoFilter>
  <mergeCells count="1">
    <mergeCell ref="E193:F193"/>
  </mergeCells>
  <pageMargins left="0.7" right="0.7" top="0.5" bottom="0.25" header="0.3" footer="0.3"/>
  <pageSetup scale="98" fitToHeight="0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5"/>
  <dimension ref="A1:AC205"/>
  <sheetViews>
    <sheetView topLeftCell="A6" zoomScale="55" zoomScaleNormal="55" workbookViewId="0">
      <pane xSplit="4" ySplit="1" topLeftCell="E103" activePane="bottomRight" state="frozen"/>
      <selection activeCell="A6" sqref="A6"/>
      <selection pane="topRight" activeCell="E6" sqref="E6"/>
      <selection pane="bottomLeft" activeCell="A7" sqref="A7"/>
      <selection pane="bottomRight" activeCell="O114" sqref="O114"/>
    </sheetView>
  </sheetViews>
  <sheetFormatPr defaultRowHeight="15"/>
  <cols>
    <col min="2" max="2" width="34" style="161" customWidth="1"/>
    <col min="4" max="4" width="12.7109375" style="159" bestFit="1" customWidth="1"/>
    <col min="5" max="5" width="12.85546875" bestFit="1" customWidth="1"/>
    <col min="6" max="6" width="12" bestFit="1" customWidth="1"/>
    <col min="7" max="7" width="12.28515625" bestFit="1" customWidth="1"/>
    <col min="8" max="8" width="10.140625" bestFit="1" customWidth="1"/>
    <col min="12" max="12" width="10.7109375" bestFit="1" customWidth="1"/>
    <col min="24" max="24" width="10.140625" bestFit="1" customWidth="1"/>
    <col min="29" max="29" width="10.7109375" bestFit="1" customWidth="1"/>
    <col min="30" max="30" width="9.140625" customWidth="1"/>
  </cols>
  <sheetData>
    <row r="1" spans="1:29" ht="15.75">
      <c r="A1" s="248" t="s">
        <v>97</v>
      </c>
      <c r="B1" s="248"/>
      <c r="C1" s="248"/>
      <c r="D1" s="248"/>
      <c r="E1" s="248"/>
      <c r="F1" s="248"/>
      <c r="G1" s="248"/>
      <c r="H1" s="248"/>
      <c r="I1" s="248"/>
      <c r="J1" s="248"/>
      <c r="K1" s="248"/>
      <c r="L1" s="51"/>
      <c r="M1" s="51"/>
      <c r="N1" s="51"/>
      <c r="O1" s="51"/>
      <c r="P1" s="51"/>
      <c r="Q1" s="51"/>
      <c r="R1" s="51"/>
      <c r="S1" s="51"/>
      <c r="T1" s="51"/>
      <c r="U1" s="51"/>
      <c r="V1" s="51"/>
      <c r="W1" s="51"/>
      <c r="X1" s="51"/>
      <c r="Y1" s="51"/>
      <c r="Z1" s="51"/>
      <c r="AA1" s="51"/>
      <c r="AB1" s="51"/>
      <c r="AC1" s="51"/>
    </row>
    <row r="2" spans="1:29" ht="15.75">
      <c r="A2" s="52"/>
      <c r="B2" s="54"/>
      <c r="C2" s="54"/>
      <c r="D2" s="156"/>
      <c r="E2" s="53"/>
      <c r="F2" s="53"/>
      <c r="G2" s="53"/>
      <c r="H2" s="53"/>
      <c r="I2" s="53"/>
      <c r="J2" s="53"/>
      <c r="K2" s="53"/>
      <c r="L2" s="51"/>
      <c r="M2" s="51"/>
      <c r="N2" s="51"/>
      <c r="O2" s="51"/>
      <c r="P2" s="51"/>
      <c r="Q2" s="51"/>
      <c r="R2" s="51"/>
      <c r="S2" s="51"/>
      <c r="T2" s="51"/>
      <c r="U2" s="51"/>
      <c r="V2" s="51"/>
      <c r="W2" s="51"/>
      <c r="X2" s="51"/>
      <c r="Y2" s="51"/>
      <c r="Z2" s="51"/>
      <c r="AA2" s="51"/>
      <c r="AB2" s="51"/>
      <c r="AC2" s="51"/>
    </row>
    <row r="3" spans="1:29" ht="15.75">
      <c r="A3" s="55" t="s">
        <v>98</v>
      </c>
      <c r="B3" s="54"/>
      <c r="C3" s="54"/>
      <c r="D3" s="156"/>
      <c r="E3" s="53"/>
      <c r="F3" s="53"/>
      <c r="G3" s="53"/>
      <c r="H3" s="53"/>
      <c r="I3" s="53"/>
      <c r="J3" s="53"/>
      <c r="K3" s="53"/>
      <c r="L3" s="51"/>
      <c r="M3" s="51"/>
      <c r="N3" s="51"/>
      <c r="O3" s="51"/>
      <c r="P3" s="51"/>
      <c r="Q3" s="51"/>
      <c r="R3" s="51"/>
      <c r="S3" s="51"/>
      <c r="T3" s="51"/>
      <c r="U3" s="51"/>
      <c r="V3" s="51"/>
      <c r="W3" s="51"/>
      <c r="X3" s="51"/>
      <c r="Y3" s="51"/>
      <c r="Z3" s="51"/>
      <c r="AA3" s="51"/>
      <c r="AB3" s="51"/>
      <c r="AC3" s="51"/>
    </row>
    <row r="4" spans="1:29" ht="15.75">
      <c r="A4" s="55" t="s">
        <v>99</v>
      </c>
      <c r="B4" s="54"/>
      <c r="C4" s="54"/>
      <c r="D4" s="156"/>
      <c r="E4" s="53"/>
      <c r="F4" s="53"/>
      <c r="G4" s="53"/>
      <c r="H4" s="53"/>
      <c r="I4" s="53"/>
      <c r="J4" s="53"/>
      <c r="K4" s="53"/>
      <c r="L4" s="51"/>
      <c r="M4" s="51"/>
      <c r="N4" s="51"/>
      <c r="O4" s="51"/>
      <c r="P4" s="51"/>
      <c r="Q4" s="51"/>
      <c r="R4" s="51"/>
      <c r="S4" s="51"/>
      <c r="T4" s="51"/>
      <c r="U4" s="51"/>
      <c r="V4" s="51"/>
      <c r="W4" s="51"/>
      <c r="X4" s="51"/>
      <c r="Y4" s="51"/>
      <c r="Z4" s="51"/>
      <c r="AA4" s="51"/>
      <c r="AB4" s="51"/>
      <c r="AC4" s="51"/>
    </row>
    <row r="5" spans="1:29" ht="20.25">
      <c r="A5" s="51"/>
      <c r="B5" s="54"/>
      <c r="C5" s="51"/>
      <c r="D5" s="157"/>
      <c r="E5" s="249" t="s">
        <v>100</v>
      </c>
      <c r="F5" s="249"/>
      <c r="G5" s="249"/>
      <c r="H5" s="249"/>
      <c r="I5" s="249"/>
      <c r="J5" s="249"/>
      <c r="K5" s="249"/>
      <c r="L5" s="249"/>
      <c r="M5" s="250" t="s">
        <v>101</v>
      </c>
      <c r="N5" s="250"/>
      <c r="O5" s="250"/>
      <c r="P5" s="250"/>
      <c r="Q5" s="251" t="s">
        <v>102</v>
      </c>
      <c r="R5" s="251"/>
      <c r="S5" s="251"/>
      <c r="T5" s="251"/>
      <c r="U5" s="251"/>
      <c r="V5" s="246" t="s">
        <v>103</v>
      </c>
      <c r="W5" s="246"/>
      <c r="X5" s="246"/>
      <c r="Y5" s="246"/>
      <c r="Z5" s="246"/>
      <c r="AA5" s="246"/>
      <c r="AB5" s="246"/>
      <c r="AC5" s="247" t="s">
        <v>104</v>
      </c>
    </row>
    <row r="6" spans="1:29" ht="38.25">
      <c r="A6" s="79" t="s">
        <v>105</v>
      </c>
      <c r="B6" s="79" t="s">
        <v>106</v>
      </c>
      <c r="C6" s="79" t="s">
        <v>107</v>
      </c>
      <c r="D6" s="158" t="s">
        <v>129</v>
      </c>
      <c r="E6" s="71" t="s">
        <v>108</v>
      </c>
      <c r="F6" s="72" t="s">
        <v>109</v>
      </c>
      <c r="G6" s="72" t="s">
        <v>110</v>
      </c>
      <c r="H6" s="71" t="s">
        <v>111</v>
      </c>
      <c r="I6" s="71" t="s">
        <v>112</v>
      </c>
      <c r="J6" s="71" t="s">
        <v>113</v>
      </c>
      <c r="K6" s="155" t="s">
        <v>212</v>
      </c>
      <c r="L6" s="71" t="s">
        <v>114</v>
      </c>
      <c r="M6" s="73" t="s">
        <v>115</v>
      </c>
      <c r="N6" s="73" t="s">
        <v>116</v>
      </c>
      <c r="O6" s="74" t="s">
        <v>117</v>
      </c>
      <c r="P6" s="73" t="s">
        <v>114</v>
      </c>
      <c r="Q6" s="75" t="s">
        <v>118</v>
      </c>
      <c r="R6" s="75" t="s">
        <v>119</v>
      </c>
      <c r="S6" s="75" t="s">
        <v>120</v>
      </c>
      <c r="T6" s="75" t="s">
        <v>121</v>
      </c>
      <c r="U6" s="75" t="s">
        <v>114</v>
      </c>
      <c r="V6" s="76" t="s">
        <v>122</v>
      </c>
      <c r="W6" s="76" t="s">
        <v>123</v>
      </c>
      <c r="X6" s="77" t="s">
        <v>124</v>
      </c>
      <c r="Y6" s="76" t="s">
        <v>125</v>
      </c>
      <c r="Z6" s="76" t="s">
        <v>126</v>
      </c>
      <c r="AA6" s="76" t="s">
        <v>127</v>
      </c>
      <c r="AB6" s="77" t="s">
        <v>114</v>
      </c>
      <c r="AC6" s="247"/>
    </row>
    <row r="7" spans="1:29" ht="26.25">
      <c r="A7" s="78">
        <v>1</v>
      </c>
      <c r="B7" s="160" t="str">
        <f>DATA!A2</f>
        <v>Acco Nhựa</v>
      </c>
      <c r="C7" s="83" t="str">
        <f>DATA!B2</f>
        <v>hộp</v>
      </c>
      <c r="D7" s="84">
        <f>DATA!C2</f>
        <v>12500</v>
      </c>
      <c r="E7" s="65"/>
      <c r="F7" s="65"/>
      <c r="G7" s="65"/>
      <c r="H7" s="65"/>
      <c r="I7" s="65"/>
      <c r="J7" s="65"/>
      <c r="K7" s="65"/>
      <c r="L7" s="66">
        <f>SUM(E7:K7)</f>
        <v>0</v>
      </c>
      <c r="M7" s="65"/>
      <c r="N7" s="65"/>
      <c r="O7" s="65"/>
      <c r="P7" s="67">
        <f>SUM(M7:O7)</f>
        <v>0</v>
      </c>
      <c r="Q7" s="65"/>
      <c r="R7" s="65"/>
      <c r="S7" s="65"/>
      <c r="T7" s="65"/>
      <c r="U7" s="68">
        <f>SUM(Q7:T7)</f>
        <v>0</v>
      </c>
      <c r="V7" s="65"/>
      <c r="W7" s="65"/>
      <c r="X7" s="65"/>
      <c r="Y7" s="65"/>
      <c r="Z7" s="65"/>
      <c r="AA7" s="65"/>
      <c r="AB7" s="69">
        <f>SUM(V7:AA7)</f>
        <v>0</v>
      </c>
      <c r="AC7" s="70">
        <f>L7+P7+U7+AB7</f>
        <v>0</v>
      </c>
    </row>
    <row r="8" spans="1:29" ht="26.25">
      <c r="A8" s="56">
        <v>2</v>
      </c>
      <c r="B8" s="160" t="str">
        <f>DATA!A3</f>
        <v>Bấm Kim 10E Tr - Plus</v>
      </c>
      <c r="C8" s="83" t="str">
        <f>DATA!B3</f>
        <v>cái</v>
      </c>
      <c r="D8" s="84">
        <f>DATA!C3</f>
        <v>23000</v>
      </c>
      <c r="E8" s="65">
        <v>2</v>
      </c>
      <c r="F8" s="65"/>
      <c r="G8" s="65">
        <v>2</v>
      </c>
      <c r="H8" s="65"/>
      <c r="I8" s="65"/>
      <c r="J8" s="65"/>
      <c r="K8" s="65"/>
      <c r="L8" s="66">
        <f t="shared" ref="L8:L71" si="0">SUM(E8:K8)</f>
        <v>4</v>
      </c>
      <c r="M8" s="65"/>
      <c r="N8" s="65"/>
      <c r="O8" s="65"/>
      <c r="P8" s="67">
        <f t="shared" ref="P8:P71" si="1">SUM(M8:O8)</f>
        <v>0</v>
      </c>
      <c r="Q8" s="65"/>
      <c r="R8" s="65"/>
      <c r="S8" s="65"/>
      <c r="T8" s="65"/>
      <c r="U8" s="68">
        <f t="shared" ref="U8:U71" si="2">SUM(Q8:T8)</f>
        <v>0</v>
      </c>
      <c r="V8" s="65"/>
      <c r="W8" s="65"/>
      <c r="X8" s="65"/>
      <c r="Y8" s="65"/>
      <c r="Z8" s="65"/>
      <c r="AA8" s="65"/>
      <c r="AB8" s="69">
        <f t="shared" ref="AB8:AB71" si="3">SUM(V8:AA8)</f>
        <v>0</v>
      </c>
      <c r="AC8" s="70">
        <f t="shared" ref="AC8:AC71" si="4">L8+P8+U8+AB8</f>
        <v>4</v>
      </c>
    </row>
    <row r="9" spans="1:29" ht="26.25">
      <c r="A9" s="78">
        <v>3</v>
      </c>
      <c r="B9" s="160" t="str">
        <f>DATA!A4</f>
        <v>Bấm kim số 03</v>
      </c>
      <c r="C9" s="83" t="str">
        <f>DATA!B4</f>
        <v>cái</v>
      </c>
      <c r="D9" s="84">
        <f>DATA!C4</f>
        <v>28000</v>
      </c>
      <c r="E9" s="65"/>
      <c r="F9" s="65"/>
      <c r="G9" s="65"/>
      <c r="H9" s="65"/>
      <c r="I9" s="65"/>
      <c r="J9" s="65"/>
      <c r="K9" s="65"/>
      <c r="L9" s="66">
        <f t="shared" si="0"/>
        <v>0</v>
      </c>
      <c r="M9" s="65"/>
      <c r="N9" s="65"/>
      <c r="O9" s="65"/>
      <c r="P9" s="67">
        <f t="shared" si="1"/>
        <v>0</v>
      </c>
      <c r="Q9" s="65"/>
      <c r="R9" s="65"/>
      <c r="S9" s="65"/>
      <c r="T9" s="65"/>
      <c r="U9" s="68">
        <f t="shared" si="2"/>
        <v>0</v>
      </c>
      <c r="V9" s="65"/>
      <c r="W9" s="65"/>
      <c r="X9" s="65"/>
      <c r="Y9" s="65"/>
      <c r="Z9" s="65"/>
      <c r="AA9" s="65"/>
      <c r="AB9" s="69">
        <f t="shared" si="3"/>
        <v>0</v>
      </c>
      <c r="AC9" s="70">
        <f t="shared" si="4"/>
        <v>0</v>
      </c>
    </row>
    <row r="10" spans="1:29" ht="26.25">
      <c r="A10" s="80">
        <v>4</v>
      </c>
      <c r="B10" s="160" t="str">
        <f>DATA!A5</f>
        <v>Bấm Lổ Eagle 837</v>
      </c>
      <c r="C10" s="83" t="str">
        <f>DATA!B5</f>
        <v>cái</v>
      </c>
      <c r="D10" s="84">
        <f>DATA!C5</f>
        <v>30500</v>
      </c>
      <c r="E10" s="65"/>
      <c r="F10" s="65"/>
      <c r="G10" s="65"/>
      <c r="H10" s="65"/>
      <c r="I10" s="65"/>
      <c r="J10" s="65"/>
      <c r="K10" s="65"/>
      <c r="L10" s="66">
        <f t="shared" si="0"/>
        <v>0</v>
      </c>
      <c r="M10" s="65"/>
      <c r="N10" s="65"/>
      <c r="O10" s="65"/>
      <c r="P10" s="67">
        <f t="shared" si="1"/>
        <v>0</v>
      </c>
      <c r="Q10" s="65"/>
      <c r="R10" s="65"/>
      <c r="S10" s="65"/>
      <c r="T10" s="65"/>
      <c r="U10" s="68">
        <f t="shared" si="2"/>
        <v>0</v>
      </c>
      <c r="V10" s="65"/>
      <c r="W10" s="65"/>
      <c r="X10" s="65"/>
      <c r="Y10" s="65"/>
      <c r="Z10" s="65"/>
      <c r="AA10" s="65"/>
      <c r="AB10" s="69">
        <f t="shared" si="3"/>
        <v>0</v>
      </c>
      <c r="AC10" s="70">
        <f t="shared" si="4"/>
        <v>0</v>
      </c>
    </row>
    <row r="11" spans="1:29" ht="26.25">
      <c r="A11" s="78">
        <v>5</v>
      </c>
      <c r="B11" s="160" t="str">
        <f>DATA!A6</f>
        <v>Băng Keo 2 Mặt 1,6Cm</v>
      </c>
      <c r="C11" s="83" t="str">
        <f>DATA!B6</f>
        <v>cuộn</v>
      </c>
      <c r="D11" s="84">
        <f>DATA!C6</f>
        <v>2000</v>
      </c>
      <c r="E11" s="65"/>
      <c r="F11" s="65"/>
      <c r="G11" s="65"/>
      <c r="H11" s="65"/>
      <c r="I11" s="65"/>
      <c r="J11" s="65"/>
      <c r="K11" s="65"/>
      <c r="L11" s="66">
        <f t="shared" si="0"/>
        <v>0</v>
      </c>
      <c r="M11" s="65"/>
      <c r="N11" s="65"/>
      <c r="O11" s="65"/>
      <c r="P11" s="67">
        <f t="shared" si="1"/>
        <v>0</v>
      </c>
      <c r="Q11" s="65"/>
      <c r="R11" s="65"/>
      <c r="S11" s="65"/>
      <c r="T11" s="65"/>
      <c r="U11" s="68">
        <f t="shared" si="2"/>
        <v>0</v>
      </c>
      <c r="V11" s="65"/>
      <c r="W11" s="65"/>
      <c r="X11" s="65"/>
      <c r="Y11" s="65"/>
      <c r="Z11" s="65"/>
      <c r="AA11" s="65"/>
      <c r="AB11" s="69">
        <f t="shared" si="3"/>
        <v>0</v>
      </c>
      <c r="AC11" s="70">
        <f t="shared" si="4"/>
        <v>0</v>
      </c>
    </row>
    <row r="12" spans="1:29" ht="26.25">
      <c r="A12" s="80">
        <v>6</v>
      </c>
      <c r="B12" s="160" t="str">
        <f>DATA!A7</f>
        <v>Băng Keo 2 Mặt Xốp 2,4Cm</v>
      </c>
      <c r="C12" s="83" t="str">
        <f>DATA!B7</f>
        <v>cuộn</v>
      </c>
      <c r="D12" s="84">
        <f>DATA!C7</f>
        <v>10000</v>
      </c>
      <c r="E12" s="65"/>
      <c r="F12" s="65"/>
      <c r="G12" s="65"/>
      <c r="H12" s="65"/>
      <c r="I12" s="65"/>
      <c r="J12" s="65"/>
      <c r="K12" s="65"/>
      <c r="L12" s="66">
        <f t="shared" si="0"/>
        <v>0</v>
      </c>
      <c r="M12" s="65"/>
      <c r="N12" s="65"/>
      <c r="O12" s="65"/>
      <c r="P12" s="67">
        <f t="shared" si="1"/>
        <v>0</v>
      </c>
      <c r="Q12" s="65"/>
      <c r="R12" s="65"/>
      <c r="S12" s="65"/>
      <c r="T12" s="65"/>
      <c r="U12" s="68">
        <f t="shared" si="2"/>
        <v>0</v>
      </c>
      <c r="V12" s="65"/>
      <c r="W12" s="65"/>
      <c r="X12" s="65"/>
      <c r="Y12" s="65"/>
      <c r="Z12" s="65"/>
      <c r="AA12" s="65"/>
      <c r="AB12" s="69">
        <f t="shared" si="3"/>
        <v>0</v>
      </c>
      <c r="AC12" s="70">
        <f t="shared" si="4"/>
        <v>0</v>
      </c>
    </row>
    <row r="13" spans="1:29" ht="26.25">
      <c r="A13" s="78">
        <v>7</v>
      </c>
      <c r="B13" s="160" t="str">
        <f>DATA!A8</f>
        <v>Băng keo giấy</v>
      </c>
      <c r="C13" s="83" t="str">
        <f>DATA!B8</f>
        <v>cuộn</v>
      </c>
      <c r="D13" s="84">
        <f>DATA!C8</f>
        <v>2900</v>
      </c>
      <c r="E13" s="65"/>
      <c r="F13" s="65"/>
      <c r="G13" s="65"/>
      <c r="H13" s="65"/>
      <c r="I13" s="65"/>
      <c r="J13" s="65"/>
      <c r="K13" s="65"/>
      <c r="L13" s="66">
        <f t="shared" si="0"/>
        <v>0</v>
      </c>
      <c r="M13" s="65"/>
      <c r="N13" s="65"/>
      <c r="O13" s="65"/>
      <c r="P13" s="67">
        <f t="shared" si="1"/>
        <v>0</v>
      </c>
      <c r="Q13" s="65"/>
      <c r="R13" s="65"/>
      <c r="S13" s="65"/>
      <c r="T13" s="65"/>
      <c r="U13" s="68">
        <f t="shared" si="2"/>
        <v>0</v>
      </c>
      <c r="V13" s="65"/>
      <c r="W13" s="65"/>
      <c r="X13" s="65"/>
      <c r="Y13" s="65"/>
      <c r="Z13" s="65"/>
      <c r="AA13" s="65"/>
      <c r="AB13" s="69">
        <f t="shared" si="3"/>
        <v>0</v>
      </c>
      <c r="AC13" s="70">
        <f t="shared" si="4"/>
        <v>0</v>
      </c>
    </row>
    <row r="14" spans="1:29" ht="26.25">
      <c r="A14" s="80">
        <v>8</v>
      </c>
      <c r="B14" s="160" t="str">
        <f>DATA!A9</f>
        <v>Băng keo trong 2cm</v>
      </c>
      <c r="C14" s="83" t="str">
        <f>DATA!B9</f>
        <v>cuộn</v>
      </c>
      <c r="D14" s="84">
        <f>DATA!C9</f>
        <v>1200</v>
      </c>
      <c r="E14" s="65"/>
      <c r="F14" s="65"/>
      <c r="G14" s="65"/>
      <c r="H14" s="65"/>
      <c r="I14" s="65"/>
      <c r="J14" s="65"/>
      <c r="K14" s="65"/>
      <c r="L14" s="66">
        <f t="shared" si="0"/>
        <v>0</v>
      </c>
      <c r="M14" s="65"/>
      <c r="N14" s="65"/>
      <c r="O14" s="65"/>
      <c r="P14" s="67">
        <f t="shared" si="1"/>
        <v>0</v>
      </c>
      <c r="Q14" s="65"/>
      <c r="R14" s="65"/>
      <c r="S14" s="65"/>
      <c r="T14" s="65"/>
      <c r="U14" s="68">
        <f t="shared" si="2"/>
        <v>0</v>
      </c>
      <c r="V14" s="65"/>
      <c r="W14" s="65"/>
      <c r="X14" s="65"/>
      <c r="Y14" s="65"/>
      <c r="Z14" s="65">
        <v>10</v>
      </c>
      <c r="AA14" s="65"/>
      <c r="AB14" s="69">
        <f t="shared" si="3"/>
        <v>10</v>
      </c>
      <c r="AC14" s="70">
        <f t="shared" si="4"/>
        <v>10</v>
      </c>
    </row>
    <row r="15" spans="1:29" ht="26.25">
      <c r="A15" s="78">
        <v>9</v>
      </c>
      <c r="B15" s="160" t="str">
        <f>DATA!A10</f>
        <v>Băng Keo Trong 5Cm 80Yards</v>
      </c>
      <c r="C15" s="83" t="str">
        <f>DATA!B10</f>
        <v>cuộn</v>
      </c>
      <c r="D15" s="84">
        <f>DATA!C10</f>
        <v>7900</v>
      </c>
      <c r="E15" s="65"/>
      <c r="F15" s="65"/>
      <c r="G15" s="65"/>
      <c r="H15" s="65"/>
      <c r="I15" s="65"/>
      <c r="J15" s="65"/>
      <c r="K15" s="65"/>
      <c r="L15" s="66">
        <f t="shared" si="0"/>
        <v>0</v>
      </c>
      <c r="M15" s="65"/>
      <c r="N15" s="65"/>
      <c r="O15" s="65"/>
      <c r="P15" s="67">
        <f t="shared" si="1"/>
        <v>0</v>
      </c>
      <c r="Q15" s="65"/>
      <c r="R15" s="65"/>
      <c r="S15" s="65"/>
      <c r="T15" s="65"/>
      <c r="U15" s="68">
        <f t="shared" si="2"/>
        <v>0</v>
      </c>
      <c r="V15" s="65"/>
      <c r="W15" s="65"/>
      <c r="X15" s="65"/>
      <c r="Y15" s="65"/>
      <c r="Z15" s="65"/>
      <c r="AA15" s="65"/>
      <c r="AB15" s="69">
        <f t="shared" si="3"/>
        <v>0</v>
      </c>
      <c r="AC15" s="70">
        <f t="shared" si="4"/>
        <v>0</v>
      </c>
    </row>
    <row r="16" spans="1:29" ht="26.25">
      <c r="A16" s="80">
        <v>10</v>
      </c>
      <c r="B16" s="160" t="str">
        <f>DATA!A11</f>
        <v>Bảng Tên Nhựa Dẻo (Đứng)</v>
      </c>
      <c r="C16" s="83" t="str">
        <f>DATA!B11</f>
        <v>cái</v>
      </c>
      <c r="D16" s="84">
        <f>DATA!C11</f>
        <v>1170</v>
      </c>
      <c r="E16" s="65"/>
      <c r="F16" s="65"/>
      <c r="G16" s="65"/>
      <c r="H16" s="65"/>
      <c r="I16" s="65"/>
      <c r="J16" s="65"/>
      <c r="K16" s="65"/>
      <c r="L16" s="66">
        <f t="shared" si="0"/>
        <v>0</v>
      </c>
      <c r="M16" s="65"/>
      <c r="N16" s="65"/>
      <c r="O16" s="65"/>
      <c r="P16" s="67">
        <f t="shared" si="1"/>
        <v>0</v>
      </c>
      <c r="Q16" s="65"/>
      <c r="R16" s="65"/>
      <c r="S16" s="65"/>
      <c r="T16" s="65"/>
      <c r="U16" s="68">
        <f t="shared" si="2"/>
        <v>0</v>
      </c>
      <c r="V16" s="65"/>
      <c r="W16" s="65"/>
      <c r="X16" s="65"/>
      <c r="Y16" s="65"/>
      <c r="Z16" s="65"/>
      <c r="AA16" s="65"/>
      <c r="AB16" s="69">
        <f t="shared" si="3"/>
        <v>0</v>
      </c>
      <c r="AC16" s="70">
        <f t="shared" si="4"/>
        <v>0</v>
      </c>
    </row>
    <row r="17" spans="1:29" ht="26.25">
      <c r="A17" s="78">
        <v>11</v>
      </c>
      <c r="B17" s="160" t="str">
        <f>DATA!A12</f>
        <v>Bảng Tên Nhựa Dẻo (Ngang)</v>
      </c>
      <c r="C17" s="83" t="str">
        <f>DATA!B12</f>
        <v>cái</v>
      </c>
      <c r="D17" s="84">
        <f>DATA!C12</f>
        <v>1170</v>
      </c>
      <c r="E17" s="65"/>
      <c r="F17" s="65"/>
      <c r="G17" s="65"/>
      <c r="H17" s="65"/>
      <c r="I17" s="65"/>
      <c r="J17" s="65"/>
      <c r="K17" s="65"/>
      <c r="L17" s="66">
        <f t="shared" si="0"/>
        <v>0</v>
      </c>
      <c r="M17" s="65"/>
      <c r="N17" s="65"/>
      <c r="O17" s="65"/>
      <c r="P17" s="67">
        <f t="shared" si="1"/>
        <v>0</v>
      </c>
      <c r="Q17" s="65"/>
      <c r="R17" s="65"/>
      <c r="S17" s="65"/>
      <c r="T17" s="65"/>
      <c r="U17" s="68">
        <f t="shared" si="2"/>
        <v>0</v>
      </c>
      <c r="V17" s="65"/>
      <c r="W17" s="65"/>
      <c r="X17" s="65"/>
      <c r="Y17" s="65"/>
      <c r="Z17" s="65"/>
      <c r="AA17" s="65"/>
      <c r="AB17" s="69">
        <f t="shared" si="3"/>
        <v>0</v>
      </c>
      <c r="AC17" s="70">
        <f t="shared" si="4"/>
        <v>0</v>
      </c>
    </row>
    <row r="18" spans="1:29" ht="30">
      <c r="A18" s="80">
        <v>12</v>
      </c>
      <c r="B18" s="160" t="str">
        <f>DATA!A13</f>
        <v>Băng Xóa Mini 5 Series Bag Jpn</v>
      </c>
      <c r="C18" s="83" t="str">
        <f>DATA!B13</f>
        <v>cái</v>
      </c>
      <c r="D18" s="84">
        <f>DATA!C13</f>
        <v>9200</v>
      </c>
      <c r="E18" s="65"/>
      <c r="F18" s="65"/>
      <c r="G18" s="65"/>
      <c r="H18" s="65"/>
      <c r="I18" s="65"/>
      <c r="J18" s="65"/>
      <c r="K18" s="65"/>
      <c r="L18" s="66">
        <f t="shared" si="0"/>
        <v>0</v>
      </c>
      <c r="M18" s="65"/>
      <c r="N18" s="65"/>
      <c r="O18" s="65"/>
      <c r="P18" s="67">
        <f t="shared" si="1"/>
        <v>0</v>
      </c>
      <c r="Q18" s="65"/>
      <c r="R18" s="65"/>
      <c r="S18" s="65"/>
      <c r="T18" s="65"/>
      <c r="U18" s="68">
        <f t="shared" si="2"/>
        <v>0</v>
      </c>
      <c r="V18" s="65"/>
      <c r="W18" s="65"/>
      <c r="X18" s="65"/>
      <c r="Y18" s="65"/>
      <c r="Z18" s="65"/>
      <c r="AA18" s="65"/>
      <c r="AB18" s="69">
        <f t="shared" si="3"/>
        <v>0</v>
      </c>
      <c r="AC18" s="70">
        <f t="shared" si="4"/>
        <v>0</v>
      </c>
    </row>
    <row r="19" spans="1:29" ht="26.25">
      <c r="A19" s="78">
        <v>13</v>
      </c>
      <c r="B19" s="160" t="str">
        <f>DATA!A14</f>
        <v>Bìa 1 Nút F4</v>
      </c>
      <c r="C19" s="83" t="str">
        <f>DATA!B14</f>
        <v>cái</v>
      </c>
      <c r="D19" s="84">
        <f>DATA!C14</f>
        <v>2950</v>
      </c>
      <c r="E19" s="65"/>
      <c r="F19" s="65"/>
      <c r="G19" s="65"/>
      <c r="H19" s="65"/>
      <c r="I19" s="65"/>
      <c r="J19" s="65"/>
      <c r="K19" s="65"/>
      <c r="L19" s="66">
        <f t="shared" si="0"/>
        <v>0</v>
      </c>
      <c r="M19" s="65"/>
      <c r="N19" s="65"/>
      <c r="O19" s="65"/>
      <c r="P19" s="67">
        <f t="shared" si="1"/>
        <v>0</v>
      </c>
      <c r="Q19" s="65"/>
      <c r="R19" s="65"/>
      <c r="S19" s="65"/>
      <c r="T19" s="65"/>
      <c r="U19" s="68">
        <f t="shared" si="2"/>
        <v>0</v>
      </c>
      <c r="V19" s="65"/>
      <c r="W19" s="65"/>
      <c r="X19" s="65"/>
      <c r="Y19" s="65"/>
      <c r="Z19" s="65"/>
      <c r="AA19" s="65"/>
      <c r="AB19" s="69">
        <f t="shared" si="3"/>
        <v>0</v>
      </c>
      <c r="AC19" s="70">
        <f t="shared" si="4"/>
        <v>0</v>
      </c>
    </row>
    <row r="20" spans="1:29" ht="26.25">
      <c r="A20" s="80">
        <v>14</v>
      </c>
      <c r="B20" s="160" t="str">
        <f>DATA!A15</f>
        <v>Bìa Accord A4</v>
      </c>
      <c r="C20" s="83" t="str">
        <f>DATA!B15</f>
        <v>cái</v>
      </c>
      <c r="D20" s="84">
        <f>DATA!C15</f>
        <v>3800</v>
      </c>
      <c r="E20" s="65"/>
      <c r="F20" s="65"/>
      <c r="G20" s="65"/>
      <c r="H20" s="65"/>
      <c r="I20" s="65"/>
      <c r="J20" s="65"/>
      <c r="K20" s="65"/>
      <c r="L20" s="66">
        <f t="shared" si="0"/>
        <v>0</v>
      </c>
      <c r="M20" s="65"/>
      <c r="N20" s="65"/>
      <c r="O20" s="65"/>
      <c r="P20" s="67">
        <f t="shared" si="1"/>
        <v>0</v>
      </c>
      <c r="Q20" s="65"/>
      <c r="R20" s="65"/>
      <c r="S20" s="65"/>
      <c r="T20" s="65"/>
      <c r="U20" s="68">
        <f t="shared" si="2"/>
        <v>0</v>
      </c>
      <c r="V20" s="65"/>
      <c r="W20" s="65"/>
      <c r="X20" s="65"/>
      <c r="Y20" s="65"/>
      <c r="Z20" s="65"/>
      <c r="AA20" s="65"/>
      <c r="AB20" s="69">
        <f t="shared" si="3"/>
        <v>0</v>
      </c>
      <c r="AC20" s="70">
        <f t="shared" si="4"/>
        <v>0</v>
      </c>
    </row>
    <row r="21" spans="1:29" ht="26.25">
      <c r="A21" s="78">
        <v>15</v>
      </c>
      <c r="B21" s="160" t="str">
        <f>DATA!A16</f>
        <v>Bìa Còng 7P 2 Mặt Si A4</v>
      </c>
      <c r="C21" s="83" t="str">
        <f>DATA!B16</f>
        <v>cái</v>
      </c>
      <c r="D21" s="84">
        <f>DATA!C16</f>
        <v>24500</v>
      </c>
      <c r="E21" s="65"/>
      <c r="F21" s="65"/>
      <c r="G21" s="65"/>
      <c r="H21" s="65"/>
      <c r="I21" s="65"/>
      <c r="J21" s="65"/>
      <c r="K21" s="65"/>
      <c r="L21" s="66">
        <f t="shared" si="0"/>
        <v>0</v>
      </c>
      <c r="M21" s="65"/>
      <c r="N21" s="65"/>
      <c r="O21" s="65"/>
      <c r="P21" s="67">
        <f t="shared" si="1"/>
        <v>0</v>
      </c>
      <c r="Q21" s="65"/>
      <c r="R21" s="65"/>
      <c r="S21" s="65"/>
      <c r="T21" s="65"/>
      <c r="U21" s="68">
        <f t="shared" si="2"/>
        <v>0</v>
      </c>
      <c r="V21" s="65"/>
      <c r="W21" s="65"/>
      <c r="X21" s="65"/>
      <c r="Y21" s="65"/>
      <c r="Z21" s="65"/>
      <c r="AA21" s="65"/>
      <c r="AB21" s="69">
        <f t="shared" si="3"/>
        <v>0</v>
      </c>
      <c r="AC21" s="70">
        <f t="shared" si="4"/>
        <v>0</v>
      </c>
    </row>
    <row r="22" spans="1:29" ht="26.25">
      <c r="A22" s="80">
        <v>16</v>
      </c>
      <c r="B22" s="160" t="str">
        <f>DATA!A17</f>
        <v>Bìa Còng 7P 2 Mặt Si F4</v>
      </c>
      <c r="C22" s="83" t="str">
        <f>DATA!B17</f>
        <v>cái</v>
      </c>
      <c r="D22" s="84">
        <f>DATA!C17</f>
        <v>21000</v>
      </c>
      <c r="E22" s="65"/>
      <c r="F22" s="65"/>
      <c r="G22" s="65"/>
      <c r="H22" s="65"/>
      <c r="I22" s="65"/>
      <c r="J22" s="65"/>
      <c r="K22" s="65"/>
      <c r="L22" s="66">
        <f t="shared" si="0"/>
        <v>0</v>
      </c>
      <c r="M22" s="65"/>
      <c r="N22" s="65"/>
      <c r="O22" s="65"/>
      <c r="P22" s="67">
        <f t="shared" si="1"/>
        <v>0</v>
      </c>
      <c r="Q22" s="65"/>
      <c r="R22" s="65"/>
      <c r="S22" s="65"/>
      <c r="T22" s="65"/>
      <c r="U22" s="68">
        <f t="shared" si="2"/>
        <v>0</v>
      </c>
      <c r="V22" s="65"/>
      <c r="W22" s="65"/>
      <c r="X22" s="65"/>
      <c r="Y22" s="65"/>
      <c r="Z22" s="65"/>
      <c r="AA22" s="65"/>
      <c r="AB22" s="69">
        <f t="shared" si="3"/>
        <v>0</v>
      </c>
      <c r="AC22" s="70">
        <f t="shared" si="4"/>
        <v>0</v>
      </c>
    </row>
    <row r="23" spans="1:29" ht="26.25">
      <c r="A23" s="78">
        <v>17</v>
      </c>
      <c r="B23" s="160" t="str">
        <f>DATA!A18</f>
        <v>Bìa kẹp trình ký</v>
      </c>
      <c r="C23" s="83" t="str">
        <f>DATA!B18</f>
        <v>cái</v>
      </c>
      <c r="D23" s="84">
        <f>DATA!C18</f>
        <v>21500</v>
      </c>
      <c r="E23" s="65"/>
      <c r="F23" s="65"/>
      <c r="G23" s="65"/>
      <c r="H23" s="65"/>
      <c r="I23" s="65"/>
      <c r="J23" s="65"/>
      <c r="K23" s="65"/>
      <c r="L23" s="66">
        <f t="shared" si="0"/>
        <v>0</v>
      </c>
      <c r="M23" s="65"/>
      <c r="N23" s="65"/>
      <c r="O23" s="65"/>
      <c r="P23" s="67">
        <f t="shared" si="1"/>
        <v>0</v>
      </c>
      <c r="Q23" s="65"/>
      <c r="R23" s="65"/>
      <c r="S23" s="65"/>
      <c r="T23" s="65"/>
      <c r="U23" s="68">
        <f t="shared" si="2"/>
        <v>0</v>
      </c>
      <c r="V23" s="65"/>
      <c r="W23" s="65"/>
      <c r="X23" s="65"/>
      <c r="Y23" s="65"/>
      <c r="Z23" s="65"/>
      <c r="AA23" s="65"/>
      <c r="AB23" s="69">
        <f t="shared" si="3"/>
        <v>0</v>
      </c>
      <c r="AC23" s="70">
        <f t="shared" si="4"/>
        <v>0</v>
      </c>
    </row>
    <row r="24" spans="1:29" ht="26.25">
      <c r="A24" s="80">
        <v>18</v>
      </c>
      <c r="B24" s="160" t="str">
        <f>DATA!A19</f>
        <v>Bìa Lá A4 Plus</v>
      </c>
      <c r="C24" s="83" t="str">
        <f>DATA!B19</f>
        <v>tờ</v>
      </c>
      <c r="D24" s="84">
        <f>DATA!C19</f>
        <v>1950</v>
      </c>
      <c r="E24" s="65"/>
      <c r="F24" s="65"/>
      <c r="G24" s="65"/>
      <c r="H24" s="65"/>
      <c r="I24" s="65"/>
      <c r="J24" s="65"/>
      <c r="K24" s="65"/>
      <c r="L24" s="66">
        <f t="shared" si="0"/>
        <v>0</v>
      </c>
      <c r="M24" s="65"/>
      <c r="N24" s="65"/>
      <c r="O24" s="65"/>
      <c r="P24" s="67">
        <f t="shared" si="1"/>
        <v>0</v>
      </c>
      <c r="Q24" s="65"/>
      <c r="R24" s="65"/>
      <c r="S24" s="65"/>
      <c r="T24" s="65"/>
      <c r="U24" s="68">
        <f t="shared" si="2"/>
        <v>0</v>
      </c>
      <c r="V24" s="65"/>
      <c r="W24" s="65"/>
      <c r="X24" s="65"/>
      <c r="Y24" s="65"/>
      <c r="Z24" s="65"/>
      <c r="AA24" s="65"/>
      <c r="AB24" s="69">
        <f t="shared" si="3"/>
        <v>0</v>
      </c>
      <c r="AC24" s="70">
        <f t="shared" si="4"/>
        <v>0</v>
      </c>
    </row>
    <row r="25" spans="1:29" ht="26.25">
      <c r="A25" s="78">
        <v>19</v>
      </c>
      <c r="B25" s="160" t="str">
        <f>DATA!A20</f>
        <v>Bìa Lổ A4</v>
      </c>
      <c r="C25" s="83" t="str">
        <f>DATA!B20</f>
        <v>tờ</v>
      </c>
      <c r="D25" s="84">
        <f>DATA!C20</f>
        <v>295</v>
      </c>
      <c r="E25" s="65"/>
      <c r="F25" s="65"/>
      <c r="G25" s="65"/>
      <c r="H25" s="65"/>
      <c r="I25" s="65"/>
      <c r="J25" s="65"/>
      <c r="K25" s="65">
        <v>50</v>
      </c>
      <c r="L25" s="66">
        <f t="shared" si="0"/>
        <v>50</v>
      </c>
      <c r="M25" s="65"/>
      <c r="N25" s="65"/>
      <c r="O25" s="65"/>
      <c r="P25" s="67">
        <f t="shared" si="1"/>
        <v>0</v>
      </c>
      <c r="Q25" s="65"/>
      <c r="R25" s="65"/>
      <c r="S25" s="65"/>
      <c r="T25" s="65"/>
      <c r="U25" s="68">
        <f t="shared" si="2"/>
        <v>0</v>
      </c>
      <c r="V25" s="65"/>
      <c r="W25" s="65"/>
      <c r="X25" s="65"/>
      <c r="Y25" s="65"/>
      <c r="Z25" s="65"/>
      <c r="AA25" s="65"/>
      <c r="AB25" s="69">
        <f t="shared" si="3"/>
        <v>0</v>
      </c>
      <c r="AC25" s="70">
        <f t="shared" si="4"/>
        <v>50</v>
      </c>
    </row>
    <row r="26" spans="1:29" ht="26.25">
      <c r="A26" s="80">
        <v>20</v>
      </c>
      <c r="B26" s="160" t="str">
        <f>DATA!A21</f>
        <v>Bìa nút</v>
      </c>
      <c r="C26" s="83" t="str">
        <f>DATA!B21</f>
        <v>cái</v>
      </c>
      <c r="D26" s="84">
        <f>DATA!C21</f>
        <v>2600</v>
      </c>
      <c r="E26" s="65"/>
      <c r="F26" s="65"/>
      <c r="G26" s="65"/>
      <c r="H26" s="65"/>
      <c r="I26" s="65"/>
      <c r="J26" s="65"/>
      <c r="K26" s="65"/>
      <c r="L26" s="66">
        <f t="shared" si="0"/>
        <v>0</v>
      </c>
      <c r="M26" s="65"/>
      <c r="N26" s="65"/>
      <c r="O26" s="65"/>
      <c r="P26" s="67">
        <f t="shared" si="1"/>
        <v>0</v>
      </c>
      <c r="Q26" s="65"/>
      <c r="R26" s="65"/>
      <c r="S26" s="65"/>
      <c r="T26" s="65"/>
      <c r="U26" s="68">
        <f t="shared" si="2"/>
        <v>0</v>
      </c>
      <c r="V26" s="65"/>
      <c r="W26" s="65"/>
      <c r="X26" s="65"/>
      <c r="Y26" s="65"/>
      <c r="Z26" s="65"/>
      <c r="AA26" s="65"/>
      <c r="AB26" s="69">
        <f t="shared" si="3"/>
        <v>0</v>
      </c>
      <c r="AC26" s="70">
        <f t="shared" si="4"/>
        <v>0</v>
      </c>
    </row>
    <row r="27" spans="1:29" ht="26.25">
      <c r="A27" s="78">
        <v>21</v>
      </c>
      <c r="B27" s="160" t="str">
        <f>DATA!A22</f>
        <v>Bìa Thái A4 Sunflower</v>
      </c>
      <c r="C27" s="83" t="str">
        <f>DATA!B22</f>
        <v>xấp</v>
      </c>
      <c r="D27" s="84">
        <f>DATA!C22</f>
        <v>43000</v>
      </c>
      <c r="E27" s="65"/>
      <c r="F27" s="65"/>
      <c r="G27" s="65"/>
      <c r="H27" s="65"/>
      <c r="I27" s="65"/>
      <c r="J27" s="65"/>
      <c r="K27" s="65"/>
      <c r="L27" s="66">
        <f t="shared" si="0"/>
        <v>0</v>
      </c>
      <c r="M27" s="65"/>
      <c r="N27" s="65"/>
      <c r="O27" s="65"/>
      <c r="P27" s="67">
        <f t="shared" si="1"/>
        <v>0</v>
      </c>
      <c r="Q27" s="65"/>
      <c r="R27" s="65"/>
      <c r="S27" s="65"/>
      <c r="T27" s="65"/>
      <c r="U27" s="68">
        <f t="shared" si="2"/>
        <v>0</v>
      </c>
      <c r="V27" s="65"/>
      <c r="W27" s="65"/>
      <c r="X27" s="65"/>
      <c r="Y27" s="65"/>
      <c r="Z27" s="65"/>
      <c r="AA27" s="65"/>
      <c r="AB27" s="69">
        <f t="shared" si="3"/>
        <v>0</v>
      </c>
      <c r="AC27" s="70">
        <f t="shared" si="4"/>
        <v>0</v>
      </c>
    </row>
    <row r="28" spans="1:29" ht="26.25">
      <c r="A28" s="80">
        <v>22</v>
      </c>
      <c r="B28" s="160" t="str">
        <f>DATA!A23</f>
        <v>Bìa Trình Ký Nhựa A4</v>
      </c>
      <c r="C28" s="83" t="str">
        <f>DATA!B23</f>
        <v>cái</v>
      </c>
      <c r="D28" s="84">
        <f>DATA!C23</f>
        <v>21000</v>
      </c>
      <c r="E28" s="65"/>
      <c r="F28" s="65"/>
      <c r="G28" s="65"/>
      <c r="H28" s="65"/>
      <c r="I28" s="65"/>
      <c r="J28" s="65"/>
      <c r="K28" s="65"/>
      <c r="L28" s="66">
        <f t="shared" si="0"/>
        <v>0</v>
      </c>
      <c r="M28" s="65"/>
      <c r="N28" s="65"/>
      <c r="O28" s="65"/>
      <c r="P28" s="67">
        <f t="shared" si="1"/>
        <v>0</v>
      </c>
      <c r="Q28" s="65"/>
      <c r="R28" s="65"/>
      <c r="S28" s="65"/>
      <c r="T28" s="65"/>
      <c r="U28" s="68">
        <f t="shared" si="2"/>
        <v>0</v>
      </c>
      <c r="V28" s="65"/>
      <c r="W28" s="65"/>
      <c r="X28" s="65"/>
      <c r="Y28" s="65"/>
      <c r="Z28" s="65"/>
      <c r="AA28" s="65"/>
      <c r="AB28" s="69">
        <f t="shared" si="3"/>
        <v>0</v>
      </c>
      <c r="AC28" s="70">
        <f t="shared" si="4"/>
        <v>0</v>
      </c>
    </row>
    <row r="29" spans="1:29" ht="26.25">
      <c r="A29" s="78">
        <v>23</v>
      </c>
      <c r="B29" s="160" t="str">
        <f>DATA!A24</f>
        <v>Cắt Băng Keo 5P Cầm Tay</v>
      </c>
      <c r="C29" s="83" t="str">
        <f>DATA!B24</f>
        <v>cái</v>
      </c>
      <c r="D29" s="84">
        <f>DATA!C24</f>
        <v>12300</v>
      </c>
      <c r="E29" s="65"/>
      <c r="F29" s="65"/>
      <c r="G29" s="65"/>
      <c r="H29" s="65"/>
      <c r="I29" s="65"/>
      <c r="J29" s="65"/>
      <c r="K29" s="65"/>
      <c r="L29" s="66">
        <f t="shared" si="0"/>
        <v>0</v>
      </c>
      <c r="M29" s="65"/>
      <c r="N29" s="65"/>
      <c r="O29" s="65"/>
      <c r="P29" s="67">
        <f t="shared" si="1"/>
        <v>0</v>
      </c>
      <c r="Q29" s="65"/>
      <c r="R29" s="65"/>
      <c r="S29" s="65"/>
      <c r="T29" s="65"/>
      <c r="U29" s="68">
        <f t="shared" si="2"/>
        <v>0</v>
      </c>
      <c r="V29" s="65"/>
      <c r="W29" s="65"/>
      <c r="X29" s="65"/>
      <c r="Y29" s="65"/>
      <c r="Z29" s="65"/>
      <c r="AA29" s="65"/>
      <c r="AB29" s="69">
        <f t="shared" si="3"/>
        <v>0</v>
      </c>
      <c r="AC29" s="70">
        <f t="shared" si="4"/>
        <v>0</v>
      </c>
    </row>
    <row r="30" spans="1:29" ht="26.25">
      <c r="A30" s="80">
        <v>24</v>
      </c>
      <c r="B30" s="160" t="str">
        <f>DATA!A25</f>
        <v>Chổi lông gà</v>
      </c>
      <c r="C30" s="83" t="str">
        <f>DATA!B25</f>
        <v>cây</v>
      </c>
      <c r="D30" s="84">
        <f>DATA!C25</f>
        <v>14000</v>
      </c>
      <c r="E30" s="65"/>
      <c r="F30" s="65"/>
      <c r="G30" s="65"/>
      <c r="H30" s="65"/>
      <c r="I30" s="65"/>
      <c r="J30" s="65"/>
      <c r="K30" s="65"/>
      <c r="L30" s="66">
        <f t="shared" si="0"/>
        <v>0</v>
      </c>
      <c r="M30" s="65"/>
      <c r="N30" s="65"/>
      <c r="O30" s="65"/>
      <c r="P30" s="67">
        <f t="shared" si="1"/>
        <v>0</v>
      </c>
      <c r="Q30" s="65"/>
      <c r="R30" s="65"/>
      <c r="S30" s="65"/>
      <c r="T30" s="65"/>
      <c r="U30" s="68">
        <f t="shared" si="2"/>
        <v>0</v>
      </c>
      <c r="V30" s="65"/>
      <c r="W30" s="65"/>
      <c r="X30" s="65"/>
      <c r="Y30" s="65"/>
      <c r="Z30" s="65"/>
      <c r="AA30" s="65"/>
      <c r="AB30" s="69">
        <f t="shared" si="3"/>
        <v>0</v>
      </c>
      <c r="AC30" s="70">
        <f t="shared" si="4"/>
        <v>0</v>
      </c>
    </row>
    <row r="31" spans="1:29" ht="26.25">
      <c r="A31" s="78">
        <v>25</v>
      </c>
      <c r="B31" s="160" t="str">
        <f>DATA!A26</f>
        <v>Chổi trung quét bàn phím</v>
      </c>
      <c r="C31" s="83" t="str">
        <f>DATA!B26</f>
        <v>Cây</v>
      </c>
      <c r="D31" s="84">
        <f>DATA!C26</f>
        <v>32000</v>
      </c>
      <c r="E31" s="65"/>
      <c r="F31" s="65"/>
      <c r="G31" s="65"/>
      <c r="H31" s="65"/>
      <c r="I31" s="65"/>
      <c r="J31" s="65"/>
      <c r="K31" s="65"/>
      <c r="L31" s="66">
        <f t="shared" si="0"/>
        <v>0</v>
      </c>
      <c r="M31" s="65"/>
      <c r="N31" s="65"/>
      <c r="O31" s="65"/>
      <c r="P31" s="67">
        <f t="shared" si="1"/>
        <v>0</v>
      </c>
      <c r="Q31" s="65"/>
      <c r="R31" s="65"/>
      <c r="S31" s="65"/>
      <c r="T31" s="65"/>
      <c r="U31" s="68">
        <f t="shared" si="2"/>
        <v>0</v>
      </c>
      <c r="V31" s="65"/>
      <c r="W31" s="65"/>
      <c r="X31" s="65"/>
      <c r="Y31" s="65"/>
      <c r="Z31" s="65"/>
      <c r="AA31" s="65"/>
      <c r="AB31" s="69">
        <f t="shared" si="3"/>
        <v>0</v>
      </c>
      <c r="AC31" s="70">
        <f t="shared" si="4"/>
        <v>0</v>
      </c>
    </row>
    <row r="32" spans="1:29" ht="26.25">
      <c r="A32" s="80">
        <v>26</v>
      </c>
      <c r="B32" s="160" t="str">
        <f>DATA!A27</f>
        <v>Chuốt Chì Nhỏ Sdi 0137</v>
      </c>
      <c r="C32" s="83" t="str">
        <f>DATA!B27</f>
        <v>cái</v>
      </c>
      <c r="D32" s="84">
        <f>DATA!C27</f>
        <v>4000</v>
      </c>
      <c r="E32" s="65"/>
      <c r="F32" s="65"/>
      <c r="G32" s="65"/>
      <c r="H32" s="65"/>
      <c r="I32" s="65"/>
      <c r="J32" s="65"/>
      <c r="K32" s="65"/>
      <c r="L32" s="66">
        <f t="shared" si="0"/>
        <v>0</v>
      </c>
      <c r="M32" s="65"/>
      <c r="N32" s="65"/>
      <c r="O32" s="65"/>
      <c r="P32" s="67">
        <f t="shared" si="1"/>
        <v>0</v>
      </c>
      <c r="Q32" s="65"/>
      <c r="R32" s="65"/>
      <c r="S32" s="65"/>
      <c r="T32" s="65"/>
      <c r="U32" s="68">
        <f t="shared" si="2"/>
        <v>0</v>
      </c>
      <c r="V32" s="65"/>
      <c r="W32" s="65"/>
      <c r="X32" s="65"/>
      <c r="Y32" s="65"/>
      <c r="Z32" s="65"/>
      <c r="AA32" s="65"/>
      <c r="AB32" s="69">
        <f t="shared" si="3"/>
        <v>0</v>
      </c>
      <c r="AC32" s="70">
        <f t="shared" si="4"/>
        <v>0</v>
      </c>
    </row>
    <row r="33" spans="1:29" ht="26.25">
      <c r="A33" s="78">
        <v>27</v>
      </c>
      <c r="B33" s="160" t="str">
        <f>DATA!A28</f>
        <v>Cồn Nhỏ</v>
      </c>
      <c r="C33" s="83" t="str">
        <f>DATA!B28</f>
        <v>Chai</v>
      </c>
      <c r="D33" s="84">
        <f>DATA!C28</f>
        <v>3500</v>
      </c>
      <c r="E33" s="65"/>
      <c r="F33" s="65"/>
      <c r="G33" s="65"/>
      <c r="H33" s="65"/>
      <c r="I33" s="65"/>
      <c r="J33" s="65"/>
      <c r="K33" s="65"/>
      <c r="L33" s="66">
        <f t="shared" si="0"/>
        <v>0</v>
      </c>
      <c r="M33" s="65"/>
      <c r="N33" s="65"/>
      <c r="O33" s="65"/>
      <c r="P33" s="67">
        <f t="shared" si="1"/>
        <v>0</v>
      </c>
      <c r="Q33" s="65"/>
      <c r="R33" s="65"/>
      <c r="S33" s="65"/>
      <c r="T33" s="65"/>
      <c r="U33" s="68">
        <f t="shared" si="2"/>
        <v>0</v>
      </c>
      <c r="V33" s="65"/>
      <c r="W33" s="65"/>
      <c r="X33" s="65"/>
      <c r="Y33" s="65"/>
      <c r="Z33" s="65"/>
      <c r="AA33" s="65"/>
      <c r="AB33" s="69">
        <f t="shared" si="3"/>
        <v>0</v>
      </c>
      <c r="AC33" s="70">
        <f t="shared" si="4"/>
        <v>0</v>
      </c>
    </row>
    <row r="34" spans="1:29" ht="26.25">
      <c r="A34" s="80">
        <v>28</v>
      </c>
      <c r="B34" s="160" t="str">
        <f>DATA!A29</f>
        <v>Dao Rọc Giấy Lớn Tth 280</v>
      </c>
      <c r="C34" s="83" t="str">
        <f>DATA!B29</f>
        <v>cây</v>
      </c>
      <c r="D34" s="84">
        <f>DATA!C29</f>
        <v>4500</v>
      </c>
      <c r="E34" s="65"/>
      <c r="F34" s="65"/>
      <c r="G34" s="65"/>
      <c r="H34" s="65"/>
      <c r="I34" s="65"/>
      <c r="J34" s="65"/>
      <c r="K34" s="65"/>
      <c r="L34" s="66">
        <f t="shared" si="0"/>
        <v>0</v>
      </c>
      <c r="M34" s="65"/>
      <c r="N34" s="65"/>
      <c r="O34" s="65"/>
      <c r="P34" s="67">
        <f t="shared" si="1"/>
        <v>0</v>
      </c>
      <c r="Q34" s="65"/>
      <c r="R34" s="65"/>
      <c r="S34" s="65"/>
      <c r="T34" s="65"/>
      <c r="U34" s="68">
        <f t="shared" si="2"/>
        <v>0</v>
      </c>
      <c r="V34" s="65"/>
      <c r="W34" s="65"/>
      <c r="X34" s="65"/>
      <c r="Y34" s="65"/>
      <c r="Z34" s="65"/>
      <c r="AA34" s="65"/>
      <c r="AB34" s="69">
        <f t="shared" si="3"/>
        <v>0</v>
      </c>
      <c r="AC34" s="70">
        <f t="shared" si="4"/>
        <v>0</v>
      </c>
    </row>
    <row r="35" spans="1:29" ht="30">
      <c r="A35" s="78">
        <v>29</v>
      </c>
      <c r="B35" s="160" t="str">
        <f>DATA!A30</f>
        <v>Dao rọc giấy nhỏ SDI (loại 3 lưỡi)</v>
      </c>
      <c r="C35" s="83" t="str">
        <f>DATA!B30</f>
        <v>cây</v>
      </c>
      <c r="D35" s="84">
        <f>DATA!C30</f>
        <v>9500</v>
      </c>
      <c r="E35" s="65"/>
      <c r="F35" s="65"/>
      <c r="G35" s="65"/>
      <c r="H35" s="65"/>
      <c r="I35" s="65"/>
      <c r="J35" s="65"/>
      <c r="K35" s="65"/>
      <c r="L35" s="66">
        <f t="shared" si="0"/>
        <v>0</v>
      </c>
      <c r="M35" s="65"/>
      <c r="N35" s="65"/>
      <c r="O35" s="65"/>
      <c r="P35" s="67">
        <f t="shared" si="1"/>
        <v>0</v>
      </c>
      <c r="Q35" s="65"/>
      <c r="R35" s="65"/>
      <c r="S35" s="65"/>
      <c r="T35" s="65"/>
      <c r="U35" s="68">
        <f t="shared" si="2"/>
        <v>0</v>
      </c>
      <c r="V35" s="65"/>
      <c r="W35" s="65"/>
      <c r="X35" s="65"/>
      <c r="Y35" s="65"/>
      <c r="Z35" s="65"/>
      <c r="AA35" s="65"/>
      <c r="AB35" s="69">
        <f t="shared" si="3"/>
        <v>0</v>
      </c>
      <c r="AC35" s="70">
        <f t="shared" si="4"/>
        <v>0</v>
      </c>
    </row>
    <row r="36" spans="1:29" ht="26.25">
      <c r="A36" s="80">
        <v>30</v>
      </c>
      <c r="B36" s="160" t="str">
        <f>DATA!A31</f>
        <v>Dao Rọc Giấy Lớn Sdi</v>
      </c>
      <c r="C36" s="83" t="str">
        <f>DATA!B31</f>
        <v>cây</v>
      </c>
      <c r="D36" s="84">
        <f>DATA!C31</f>
        <v>14000</v>
      </c>
      <c r="E36" s="65"/>
      <c r="F36" s="65"/>
      <c r="G36" s="65"/>
      <c r="H36" s="65"/>
      <c r="I36" s="65"/>
      <c r="J36" s="65"/>
      <c r="K36" s="65"/>
      <c r="L36" s="66">
        <f t="shared" si="0"/>
        <v>0</v>
      </c>
      <c r="M36" s="65"/>
      <c r="N36" s="65"/>
      <c r="O36" s="65"/>
      <c r="P36" s="67">
        <f t="shared" si="1"/>
        <v>0</v>
      </c>
      <c r="Q36" s="65"/>
      <c r="R36" s="65"/>
      <c r="S36" s="65"/>
      <c r="T36" s="65"/>
      <c r="U36" s="68">
        <f t="shared" si="2"/>
        <v>0</v>
      </c>
      <c r="V36" s="65"/>
      <c r="W36" s="65"/>
      <c r="X36" s="65"/>
      <c r="Y36" s="65"/>
      <c r="Z36" s="65"/>
      <c r="AA36" s="65"/>
      <c r="AB36" s="69">
        <f t="shared" si="3"/>
        <v>0</v>
      </c>
      <c r="AC36" s="70">
        <f t="shared" si="4"/>
        <v>0</v>
      </c>
    </row>
    <row r="37" spans="1:29" ht="26.25">
      <c r="A37" s="78">
        <v>31</v>
      </c>
      <c r="B37" s="160" t="str">
        <f>DATA!A32</f>
        <v>Dao Rọc Giấy Nhỏ Sdi</v>
      </c>
      <c r="C37" s="83" t="str">
        <f>DATA!B32</f>
        <v>cây</v>
      </c>
      <c r="D37" s="84">
        <f>DATA!C32</f>
        <v>20500</v>
      </c>
      <c r="E37" s="65"/>
      <c r="F37" s="65"/>
      <c r="G37" s="65"/>
      <c r="H37" s="65"/>
      <c r="I37" s="65"/>
      <c r="J37" s="65"/>
      <c r="K37" s="65"/>
      <c r="L37" s="66">
        <f t="shared" si="0"/>
        <v>0</v>
      </c>
      <c r="M37" s="65"/>
      <c r="N37" s="65"/>
      <c r="O37" s="65"/>
      <c r="P37" s="67">
        <f t="shared" si="1"/>
        <v>0</v>
      </c>
      <c r="Q37" s="65"/>
      <c r="R37" s="65"/>
      <c r="S37" s="65"/>
      <c r="T37" s="65"/>
      <c r="U37" s="68">
        <f t="shared" si="2"/>
        <v>0</v>
      </c>
      <c r="V37" s="65"/>
      <c r="W37" s="65"/>
      <c r="X37" s="65"/>
      <c r="Y37" s="65"/>
      <c r="Z37" s="65"/>
      <c r="AA37" s="65"/>
      <c r="AB37" s="69">
        <f t="shared" si="3"/>
        <v>0</v>
      </c>
      <c r="AC37" s="70">
        <f t="shared" si="4"/>
        <v>0</v>
      </c>
    </row>
    <row r="38" spans="1:29" ht="26.25">
      <c r="A38" s="80">
        <v>32</v>
      </c>
      <c r="B38" s="160" t="str">
        <f>DATA!A33</f>
        <v>Đinh ghim bảng đầu nhựa</v>
      </c>
      <c r="C38" s="83" t="str">
        <f>DATA!B33</f>
        <v>bịch</v>
      </c>
      <c r="D38" s="84">
        <f>DATA!C33</f>
        <v>3000</v>
      </c>
      <c r="E38" s="65"/>
      <c r="F38" s="65"/>
      <c r="G38" s="65"/>
      <c r="H38" s="65"/>
      <c r="I38" s="65"/>
      <c r="J38" s="65"/>
      <c r="K38" s="65"/>
      <c r="L38" s="66">
        <f t="shared" si="0"/>
        <v>0</v>
      </c>
      <c r="M38" s="65"/>
      <c r="N38" s="65"/>
      <c r="O38" s="65"/>
      <c r="P38" s="67">
        <f t="shared" si="1"/>
        <v>0</v>
      </c>
      <c r="Q38" s="65"/>
      <c r="R38" s="65"/>
      <c r="S38" s="65"/>
      <c r="T38" s="65"/>
      <c r="U38" s="68">
        <f t="shared" si="2"/>
        <v>0</v>
      </c>
      <c r="V38" s="65"/>
      <c r="W38" s="65"/>
      <c r="X38" s="65"/>
      <c r="Y38" s="65"/>
      <c r="Z38" s="65"/>
      <c r="AA38" s="65"/>
      <c r="AB38" s="69">
        <f t="shared" si="3"/>
        <v>0</v>
      </c>
      <c r="AC38" s="70">
        <f t="shared" si="4"/>
        <v>0</v>
      </c>
    </row>
    <row r="39" spans="1:29" ht="30">
      <c r="A39" s="78">
        <v>33</v>
      </c>
      <c r="B39" s="160" t="str">
        <f>DATA!A34</f>
        <v>Đồ lau bảng (sử dụng bảng viết lông)</v>
      </c>
      <c r="C39" s="83" t="str">
        <f>DATA!B34</f>
        <v>cái</v>
      </c>
      <c r="D39" s="84">
        <f>DATA!C34</f>
        <v>10200</v>
      </c>
      <c r="E39" s="65"/>
      <c r="F39" s="65"/>
      <c r="G39" s="65"/>
      <c r="H39" s="65"/>
      <c r="I39" s="65"/>
      <c r="J39" s="65"/>
      <c r="K39" s="65"/>
      <c r="L39" s="66">
        <f t="shared" si="0"/>
        <v>0</v>
      </c>
      <c r="M39" s="65"/>
      <c r="N39" s="65"/>
      <c r="O39" s="65"/>
      <c r="P39" s="67">
        <f t="shared" si="1"/>
        <v>0</v>
      </c>
      <c r="Q39" s="65"/>
      <c r="R39" s="65"/>
      <c r="S39" s="65"/>
      <c r="T39" s="65"/>
      <c r="U39" s="68">
        <f t="shared" si="2"/>
        <v>0</v>
      </c>
      <c r="V39" s="65"/>
      <c r="W39" s="65"/>
      <c r="X39" s="65"/>
      <c r="Y39" s="65"/>
      <c r="Z39" s="65"/>
      <c r="AA39" s="65"/>
      <c r="AB39" s="69">
        <f t="shared" si="3"/>
        <v>0</v>
      </c>
      <c r="AC39" s="70">
        <f t="shared" si="4"/>
        <v>0</v>
      </c>
    </row>
    <row r="40" spans="1:29" ht="26.25">
      <c r="A40" s="80">
        <v>34</v>
      </c>
      <c r="B40" s="160" t="str">
        <f>DATA!A35</f>
        <v xml:space="preserve">Giấy bấm giá TTH </v>
      </c>
      <c r="C40" s="83" t="str">
        <f>DATA!B35</f>
        <v>cuộn</v>
      </c>
      <c r="D40" s="84">
        <f>DATA!C35</f>
        <v>3000</v>
      </c>
      <c r="E40" s="65"/>
      <c r="F40" s="65"/>
      <c r="G40" s="65"/>
      <c r="H40" s="65"/>
      <c r="I40" s="65"/>
      <c r="J40" s="65"/>
      <c r="K40" s="65"/>
      <c r="L40" s="66">
        <f t="shared" si="0"/>
        <v>0</v>
      </c>
      <c r="M40" s="65"/>
      <c r="N40" s="65"/>
      <c r="O40" s="65"/>
      <c r="P40" s="67">
        <f t="shared" si="1"/>
        <v>0</v>
      </c>
      <c r="Q40" s="65"/>
      <c r="R40" s="65"/>
      <c r="S40" s="65"/>
      <c r="T40" s="65"/>
      <c r="U40" s="68">
        <f t="shared" si="2"/>
        <v>0</v>
      </c>
      <c r="V40" s="65"/>
      <c r="W40" s="65"/>
      <c r="X40" s="65"/>
      <c r="Y40" s="65"/>
      <c r="Z40" s="65">
        <v>5</v>
      </c>
      <c r="AA40" s="65"/>
      <c r="AB40" s="69">
        <f t="shared" si="3"/>
        <v>5</v>
      </c>
      <c r="AC40" s="70">
        <f t="shared" si="4"/>
        <v>5</v>
      </c>
    </row>
    <row r="41" spans="1:29" ht="26.25">
      <c r="A41" s="78">
        <v>35</v>
      </c>
      <c r="B41" s="160" t="str">
        <f>DATA!A36</f>
        <v>Giấy ghi chú 2''*3</v>
      </c>
      <c r="C41" s="83" t="str">
        <f>DATA!B36</f>
        <v>xấp</v>
      </c>
      <c r="D41" s="84">
        <f>DATA!C36</f>
        <v>4000</v>
      </c>
      <c r="E41" s="65"/>
      <c r="F41" s="65"/>
      <c r="G41" s="65">
        <v>5</v>
      </c>
      <c r="H41" s="65"/>
      <c r="I41" s="65"/>
      <c r="J41" s="65"/>
      <c r="K41" s="65"/>
      <c r="L41" s="66">
        <f t="shared" si="0"/>
        <v>5</v>
      </c>
      <c r="M41" s="65"/>
      <c r="N41" s="65"/>
      <c r="O41" s="65"/>
      <c r="P41" s="67">
        <f t="shared" si="1"/>
        <v>0</v>
      </c>
      <c r="Q41" s="65"/>
      <c r="R41" s="65"/>
      <c r="S41" s="65"/>
      <c r="T41" s="65"/>
      <c r="U41" s="68">
        <f t="shared" si="2"/>
        <v>0</v>
      </c>
      <c r="V41" s="65"/>
      <c r="W41" s="65"/>
      <c r="X41" s="65"/>
      <c r="Y41" s="65"/>
      <c r="Z41" s="65"/>
      <c r="AA41" s="65"/>
      <c r="AB41" s="69">
        <f t="shared" si="3"/>
        <v>0</v>
      </c>
      <c r="AC41" s="70">
        <f t="shared" si="4"/>
        <v>5</v>
      </c>
    </row>
    <row r="42" spans="1:29" ht="26.25">
      <c r="A42" s="80">
        <v>36</v>
      </c>
      <c r="B42" s="160" t="str">
        <f>DATA!A37</f>
        <v>Giấy ghi chú 1''*2</v>
      </c>
      <c r="C42" s="83" t="str">
        <f>DATA!B37</f>
        <v>xấp</v>
      </c>
      <c r="D42" s="84">
        <f>DATA!C37</f>
        <v>2800</v>
      </c>
      <c r="E42" s="65"/>
      <c r="F42" s="65"/>
      <c r="G42" s="65"/>
      <c r="H42" s="65"/>
      <c r="I42" s="65"/>
      <c r="J42" s="65"/>
      <c r="K42" s="65"/>
      <c r="L42" s="66">
        <f t="shared" si="0"/>
        <v>0</v>
      </c>
      <c r="M42" s="65"/>
      <c r="N42" s="65"/>
      <c r="O42" s="65"/>
      <c r="P42" s="67">
        <f t="shared" si="1"/>
        <v>0</v>
      </c>
      <c r="Q42" s="65"/>
      <c r="R42" s="65"/>
      <c r="S42" s="65"/>
      <c r="T42" s="65"/>
      <c r="U42" s="68">
        <f t="shared" si="2"/>
        <v>0</v>
      </c>
      <c r="V42" s="65"/>
      <c r="W42" s="65"/>
      <c r="X42" s="65"/>
      <c r="Y42" s="65"/>
      <c r="Z42" s="65"/>
      <c r="AA42" s="65"/>
      <c r="AB42" s="69">
        <f t="shared" si="3"/>
        <v>0</v>
      </c>
      <c r="AC42" s="70">
        <f t="shared" si="4"/>
        <v>0</v>
      </c>
    </row>
    <row r="43" spans="1:29" ht="26.25">
      <c r="A43" s="78">
        <v>37</v>
      </c>
      <c r="B43" s="160" t="str">
        <f>DATA!A38</f>
        <v>Giấy ghi chú 3''*3</v>
      </c>
      <c r="C43" s="83" t="str">
        <f>DATA!B38</f>
        <v>xấp</v>
      </c>
      <c r="D43" s="84">
        <f>DATA!C38</f>
        <v>4800</v>
      </c>
      <c r="E43" s="65"/>
      <c r="F43" s="65"/>
      <c r="G43" s="65"/>
      <c r="H43" s="65"/>
      <c r="I43" s="65"/>
      <c r="J43" s="65"/>
      <c r="K43" s="65"/>
      <c r="L43" s="66">
        <f t="shared" si="0"/>
        <v>0</v>
      </c>
      <c r="M43" s="65"/>
      <c r="N43" s="65"/>
      <c r="O43" s="65"/>
      <c r="P43" s="67">
        <f t="shared" si="1"/>
        <v>0</v>
      </c>
      <c r="Q43" s="65"/>
      <c r="R43" s="65"/>
      <c r="S43" s="65"/>
      <c r="T43" s="65"/>
      <c r="U43" s="68">
        <f t="shared" si="2"/>
        <v>0</v>
      </c>
      <c r="V43" s="65"/>
      <c r="W43" s="65"/>
      <c r="X43" s="65"/>
      <c r="Y43" s="65"/>
      <c r="Z43" s="65"/>
      <c r="AA43" s="65"/>
      <c r="AB43" s="69">
        <f t="shared" si="3"/>
        <v>0</v>
      </c>
      <c r="AC43" s="70">
        <f t="shared" si="4"/>
        <v>0</v>
      </c>
    </row>
    <row r="44" spans="1:29" ht="26.25">
      <c r="A44" s="80">
        <v>38</v>
      </c>
      <c r="B44" s="160" t="str">
        <f>DATA!A39</f>
        <v>Giấy ghi chú 3''*4</v>
      </c>
      <c r="C44" s="83" t="str">
        <f>DATA!B39</f>
        <v>xấp</v>
      </c>
      <c r="D44" s="84">
        <f>DATA!C39</f>
        <v>6300</v>
      </c>
      <c r="E44" s="65"/>
      <c r="F44" s="65"/>
      <c r="G44" s="65"/>
      <c r="H44" s="65"/>
      <c r="I44" s="65"/>
      <c r="J44" s="65"/>
      <c r="K44" s="65"/>
      <c r="L44" s="66">
        <f t="shared" si="0"/>
        <v>0</v>
      </c>
      <c r="M44" s="65"/>
      <c r="N44" s="65"/>
      <c r="O44" s="65"/>
      <c r="P44" s="67">
        <f t="shared" si="1"/>
        <v>0</v>
      </c>
      <c r="Q44" s="65"/>
      <c r="R44" s="65"/>
      <c r="S44" s="65"/>
      <c r="T44" s="65"/>
      <c r="U44" s="68">
        <f t="shared" si="2"/>
        <v>0</v>
      </c>
      <c r="V44" s="65"/>
      <c r="W44" s="65"/>
      <c r="X44" s="65"/>
      <c r="Y44" s="65"/>
      <c r="Z44" s="65"/>
      <c r="AA44" s="65"/>
      <c r="AB44" s="69">
        <f t="shared" si="3"/>
        <v>0</v>
      </c>
      <c r="AC44" s="70">
        <f t="shared" si="4"/>
        <v>0</v>
      </c>
    </row>
    <row r="45" spans="1:29" ht="26.25">
      <c r="A45" s="78">
        <v>39</v>
      </c>
      <c r="B45" s="160" t="str">
        <f>DATA!A40</f>
        <v>Gôm TL nhỏ</v>
      </c>
      <c r="C45" s="83" t="str">
        <f>DATA!B40</f>
        <v>Cục</v>
      </c>
      <c r="D45" s="84">
        <f>DATA!C40</f>
        <v>3200</v>
      </c>
      <c r="E45" s="65"/>
      <c r="F45" s="65"/>
      <c r="G45" s="65"/>
      <c r="H45" s="65"/>
      <c r="I45" s="65"/>
      <c r="J45" s="65"/>
      <c r="K45" s="65"/>
      <c r="L45" s="66">
        <f t="shared" si="0"/>
        <v>0</v>
      </c>
      <c r="M45" s="65"/>
      <c r="N45" s="65"/>
      <c r="O45" s="65"/>
      <c r="P45" s="67">
        <f t="shared" si="1"/>
        <v>0</v>
      </c>
      <c r="Q45" s="65"/>
      <c r="R45" s="65"/>
      <c r="S45" s="65"/>
      <c r="T45" s="65"/>
      <c r="U45" s="68">
        <f t="shared" si="2"/>
        <v>0</v>
      </c>
      <c r="V45" s="65"/>
      <c r="W45" s="65"/>
      <c r="X45" s="65"/>
      <c r="Y45" s="65"/>
      <c r="Z45" s="65"/>
      <c r="AA45" s="65"/>
      <c r="AB45" s="69">
        <f t="shared" si="3"/>
        <v>0</v>
      </c>
      <c r="AC45" s="70">
        <f t="shared" si="4"/>
        <v>0</v>
      </c>
    </row>
    <row r="46" spans="1:29" ht="26.25">
      <c r="A46" s="80">
        <v>40</v>
      </c>
      <c r="B46" s="160" t="str">
        <f>DATA!A41</f>
        <v>Gôm TL trung</v>
      </c>
      <c r="C46" s="83" t="str">
        <f>DATA!B41</f>
        <v>Cục</v>
      </c>
      <c r="D46" s="84">
        <f>DATA!C41</f>
        <v>4000</v>
      </c>
      <c r="E46" s="65"/>
      <c r="F46" s="65"/>
      <c r="G46" s="65"/>
      <c r="H46" s="65"/>
      <c r="I46" s="65"/>
      <c r="J46" s="65"/>
      <c r="K46" s="65"/>
      <c r="L46" s="66">
        <f t="shared" si="0"/>
        <v>0</v>
      </c>
      <c r="M46" s="65"/>
      <c r="N46" s="65"/>
      <c r="O46" s="65"/>
      <c r="P46" s="67">
        <f t="shared" si="1"/>
        <v>0</v>
      </c>
      <c r="Q46" s="65"/>
      <c r="R46" s="65"/>
      <c r="S46" s="65"/>
      <c r="T46" s="65"/>
      <c r="U46" s="68">
        <f t="shared" si="2"/>
        <v>0</v>
      </c>
      <c r="V46" s="65"/>
      <c r="W46" s="65"/>
      <c r="X46" s="65"/>
      <c r="Y46" s="65"/>
      <c r="Z46" s="65"/>
      <c r="AA46" s="65"/>
      <c r="AB46" s="69">
        <f t="shared" si="3"/>
        <v>0</v>
      </c>
      <c r="AC46" s="70">
        <f t="shared" si="4"/>
        <v>0</v>
      </c>
    </row>
    <row r="47" spans="1:29" ht="26.25">
      <c r="A47" s="78">
        <v>41</v>
      </c>
      <c r="B47" s="160" t="str">
        <f>DATA!A42</f>
        <v>Hồ nước</v>
      </c>
      <c r="C47" s="83" t="str">
        <f>DATA!B42</f>
        <v>hộp</v>
      </c>
      <c r="D47" s="84">
        <f>DATA!C42</f>
        <v>2150</v>
      </c>
      <c r="E47" s="65"/>
      <c r="F47" s="65"/>
      <c r="G47" s="65"/>
      <c r="H47" s="65"/>
      <c r="I47" s="65"/>
      <c r="J47" s="65"/>
      <c r="K47" s="65"/>
      <c r="L47" s="66">
        <f t="shared" si="0"/>
        <v>0</v>
      </c>
      <c r="M47" s="65"/>
      <c r="N47" s="65"/>
      <c r="O47" s="65"/>
      <c r="P47" s="67">
        <f t="shared" si="1"/>
        <v>0</v>
      </c>
      <c r="Q47" s="65"/>
      <c r="R47" s="65"/>
      <c r="S47" s="65"/>
      <c r="T47" s="65"/>
      <c r="U47" s="68">
        <f t="shared" si="2"/>
        <v>0</v>
      </c>
      <c r="V47" s="65"/>
      <c r="W47" s="65"/>
      <c r="X47" s="65"/>
      <c r="Y47" s="65"/>
      <c r="Z47" s="65"/>
      <c r="AA47" s="65"/>
      <c r="AB47" s="69">
        <f t="shared" si="3"/>
        <v>0</v>
      </c>
      <c r="AC47" s="70">
        <f t="shared" si="4"/>
        <v>0</v>
      </c>
    </row>
    <row r="48" spans="1:29" ht="26.25">
      <c r="A48" s="80">
        <v>42</v>
      </c>
      <c r="B48" s="160" t="str">
        <f>DATA!A43</f>
        <v>Kéo lớn S100</v>
      </c>
      <c r="C48" s="83" t="str">
        <f>DATA!B43</f>
        <v>cây</v>
      </c>
      <c r="D48" s="84">
        <f>DATA!C43</f>
        <v>16200</v>
      </c>
      <c r="E48" s="65"/>
      <c r="F48" s="65"/>
      <c r="G48" s="65"/>
      <c r="H48" s="65"/>
      <c r="I48" s="65"/>
      <c r="J48" s="65"/>
      <c r="K48" s="65"/>
      <c r="L48" s="66">
        <f t="shared" si="0"/>
        <v>0</v>
      </c>
      <c r="M48" s="65"/>
      <c r="N48" s="65"/>
      <c r="O48" s="65"/>
      <c r="P48" s="67">
        <f t="shared" si="1"/>
        <v>0</v>
      </c>
      <c r="Q48" s="65"/>
      <c r="R48" s="65"/>
      <c r="S48" s="65"/>
      <c r="T48" s="65"/>
      <c r="U48" s="68">
        <f t="shared" si="2"/>
        <v>0</v>
      </c>
      <c r="V48" s="65"/>
      <c r="W48" s="65"/>
      <c r="X48" s="65"/>
      <c r="Y48" s="65"/>
      <c r="Z48" s="65"/>
      <c r="AA48" s="65"/>
      <c r="AB48" s="69">
        <f t="shared" si="3"/>
        <v>0</v>
      </c>
      <c r="AC48" s="70">
        <f t="shared" si="4"/>
        <v>0</v>
      </c>
    </row>
    <row r="49" spans="1:29" ht="26.25">
      <c r="A49" s="78">
        <v>43</v>
      </c>
      <c r="B49" s="160" t="str">
        <f>DATA!A44</f>
        <v xml:space="preserve">Kéo nhỏ NO.S120 </v>
      </c>
      <c r="C49" s="83" t="str">
        <f>DATA!B44</f>
        <v>cây</v>
      </c>
      <c r="D49" s="84">
        <f>DATA!C44</f>
        <v>7000</v>
      </c>
      <c r="E49" s="65"/>
      <c r="F49" s="65"/>
      <c r="G49" s="65">
        <v>2</v>
      </c>
      <c r="H49" s="65"/>
      <c r="I49" s="65">
        <v>1</v>
      </c>
      <c r="J49" s="65"/>
      <c r="K49" s="65"/>
      <c r="L49" s="66">
        <f t="shared" si="0"/>
        <v>3</v>
      </c>
      <c r="M49" s="65"/>
      <c r="N49" s="65"/>
      <c r="O49" s="65"/>
      <c r="P49" s="67">
        <f t="shared" si="1"/>
        <v>0</v>
      </c>
      <c r="Q49" s="65"/>
      <c r="R49" s="65"/>
      <c r="S49" s="65"/>
      <c r="T49" s="65"/>
      <c r="U49" s="68">
        <f t="shared" si="2"/>
        <v>0</v>
      </c>
      <c r="V49" s="65"/>
      <c r="W49" s="65"/>
      <c r="X49" s="65"/>
      <c r="Y49" s="65"/>
      <c r="Z49" s="65"/>
      <c r="AA49" s="65"/>
      <c r="AB49" s="69">
        <f t="shared" si="3"/>
        <v>0</v>
      </c>
      <c r="AC49" s="70">
        <f t="shared" si="4"/>
        <v>3</v>
      </c>
    </row>
    <row r="50" spans="1:29" ht="30">
      <c r="A50" s="80">
        <v>44</v>
      </c>
      <c r="B50" s="160" t="str">
        <f>DATA!A45</f>
        <v>Keo Nước Thiên Long Lớn 30Ml</v>
      </c>
      <c r="C50" s="83" t="str">
        <f>DATA!B45</f>
        <v>lọ</v>
      </c>
      <c r="D50" s="84">
        <f>DATA!C45</f>
        <v>2500</v>
      </c>
      <c r="E50" s="65"/>
      <c r="F50" s="65"/>
      <c r="G50" s="65"/>
      <c r="H50" s="65"/>
      <c r="I50" s="65"/>
      <c r="J50" s="65"/>
      <c r="K50" s="65"/>
      <c r="L50" s="66">
        <f t="shared" si="0"/>
        <v>0</v>
      </c>
      <c r="M50" s="65"/>
      <c r="N50" s="65"/>
      <c r="O50" s="65"/>
      <c r="P50" s="67">
        <f t="shared" si="1"/>
        <v>0</v>
      </c>
      <c r="Q50" s="65"/>
      <c r="R50" s="65"/>
      <c r="S50" s="65"/>
      <c r="T50" s="65"/>
      <c r="U50" s="68">
        <f t="shared" si="2"/>
        <v>0</v>
      </c>
      <c r="V50" s="65"/>
      <c r="W50" s="65"/>
      <c r="X50" s="65"/>
      <c r="Y50" s="65"/>
      <c r="Z50" s="65"/>
      <c r="AA50" s="65"/>
      <c r="AB50" s="69">
        <f t="shared" si="3"/>
        <v>0</v>
      </c>
      <c r="AC50" s="70">
        <f t="shared" si="4"/>
        <v>0</v>
      </c>
    </row>
    <row r="51" spans="1:29" ht="26.25">
      <c r="A51" s="78">
        <v>45</v>
      </c>
      <c r="B51" s="160" t="str">
        <f>DATA!A46</f>
        <v>Kéo Suremark-8815</v>
      </c>
      <c r="C51" s="83" t="str">
        <f>DATA!B46</f>
        <v>cây</v>
      </c>
      <c r="D51" s="84">
        <f>DATA!C46</f>
        <v>12500</v>
      </c>
      <c r="E51" s="65"/>
      <c r="F51" s="65"/>
      <c r="G51" s="65"/>
      <c r="H51" s="65"/>
      <c r="I51" s="65"/>
      <c r="J51" s="65"/>
      <c r="K51" s="65"/>
      <c r="L51" s="66">
        <f t="shared" si="0"/>
        <v>0</v>
      </c>
      <c r="M51" s="65"/>
      <c r="N51" s="65"/>
      <c r="O51" s="65"/>
      <c r="P51" s="67">
        <f t="shared" si="1"/>
        <v>0</v>
      </c>
      <c r="Q51" s="65"/>
      <c r="R51" s="65"/>
      <c r="S51" s="65"/>
      <c r="T51" s="65"/>
      <c r="U51" s="68">
        <f t="shared" si="2"/>
        <v>0</v>
      </c>
      <c r="V51" s="65"/>
      <c r="W51" s="65"/>
      <c r="X51" s="65"/>
      <c r="Y51" s="65"/>
      <c r="Z51" s="65"/>
      <c r="AA51" s="65"/>
      <c r="AB51" s="69">
        <f t="shared" si="3"/>
        <v>0</v>
      </c>
      <c r="AC51" s="70">
        <f t="shared" si="4"/>
        <v>0</v>
      </c>
    </row>
    <row r="52" spans="1:29" ht="26.25">
      <c r="A52" s="80">
        <v>46</v>
      </c>
      <c r="B52" s="160" t="str">
        <f>DATA!A47</f>
        <v xml:space="preserve">Kẹp bảng tên </v>
      </c>
      <c r="C52" s="83" t="str">
        <f>DATA!B47</f>
        <v>cái</v>
      </c>
      <c r="D52" s="84">
        <f>DATA!C47</f>
        <v>1250</v>
      </c>
      <c r="E52" s="65"/>
      <c r="F52" s="65"/>
      <c r="G52" s="65"/>
      <c r="H52" s="65"/>
      <c r="I52" s="65"/>
      <c r="J52" s="65"/>
      <c r="K52" s="65"/>
      <c r="L52" s="66">
        <f t="shared" si="0"/>
        <v>0</v>
      </c>
      <c r="M52" s="65"/>
      <c r="N52" s="65"/>
      <c r="O52" s="65"/>
      <c r="P52" s="67">
        <f t="shared" si="1"/>
        <v>0</v>
      </c>
      <c r="Q52" s="65"/>
      <c r="R52" s="65"/>
      <c r="S52" s="65"/>
      <c r="T52" s="65"/>
      <c r="U52" s="68">
        <f t="shared" si="2"/>
        <v>0</v>
      </c>
      <c r="V52" s="65"/>
      <c r="W52" s="65"/>
      <c r="X52" s="65"/>
      <c r="Y52" s="65"/>
      <c r="Z52" s="65"/>
      <c r="AA52" s="65"/>
      <c r="AB52" s="69">
        <f t="shared" si="3"/>
        <v>0</v>
      </c>
      <c r="AC52" s="70">
        <f t="shared" si="4"/>
        <v>0</v>
      </c>
    </row>
    <row r="53" spans="1:29" ht="26.25">
      <c r="A53" s="78">
        <v>47</v>
      </c>
      <c r="B53" s="160" t="str">
        <f>DATA!A48</f>
        <v>Kim Kẹp Giấy Sắt C62</v>
      </c>
      <c r="C53" s="83" t="str">
        <f>DATA!B48</f>
        <v>hộp</v>
      </c>
      <c r="D53" s="84">
        <f>DATA!C48</f>
        <v>2500</v>
      </c>
      <c r="E53" s="65"/>
      <c r="F53" s="65"/>
      <c r="G53" s="65"/>
      <c r="H53" s="65"/>
      <c r="I53" s="65"/>
      <c r="J53" s="65"/>
      <c r="K53" s="65"/>
      <c r="L53" s="66">
        <f t="shared" si="0"/>
        <v>0</v>
      </c>
      <c r="M53" s="65"/>
      <c r="N53" s="65"/>
      <c r="O53" s="65"/>
      <c r="P53" s="67">
        <f t="shared" si="1"/>
        <v>0</v>
      </c>
      <c r="Q53" s="65"/>
      <c r="R53" s="65"/>
      <c r="S53" s="65"/>
      <c r="T53" s="65"/>
      <c r="U53" s="68">
        <f t="shared" si="2"/>
        <v>0</v>
      </c>
      <c r="V53" s="65"/>
      <c r="W53" s="65"/>
      <c r="X53" s="65"/>
      <c r="Y53" s="65"/>
      <c r="Z53" s="65"/>
      <c r="AA53" s="65"/>
      <c r="AB53" s="69">
        <f t="shared" si="3"/>
        <v>0</v>
      </c>
      <c r="AC53" s="70">
        <f t="shared" si="4"/>
        <v>0</v>
      </c>
    </row>
    <row r="54" spans="1:29" ht="26.25">
      <c r="A54" s="80">
        <v>48</v>
      </c>
      <c r="B54" s="160" t="str">
        <f>DATA!A49</f>
        <v>Khăn Trắng</v>
      </c>
      <c r="C54" s="83" t="str">
        <f>DATA!B49</f>
        <v>cái</v>
      </c>
      <c r="D54" s="84">
        <f>DATA!C49</f>
        <v>4000</v>
      </c>
      <c r="E54" s="65"/>
      <c r="F54" s="65"/>
      <c r="G54" s="65"/>
      <c r="H54" s="65"/>
      <c r="I54" s="65"/>
      <c r="J54" s="65"/>
      <c r="K54" s="65"/>
      <c r="L54" s="66">
        <f t="shared" si="0"/>
        <v>0</v>
      </c>
      <c r="M54" s="65"/>
      <c r="N54" s="65"/>
      <c r="O54" s="65"/>
      <c r="P54" s="67">
        <f t="shared" si="1"/>
        <v>0</v>
      </c>
      <c r="Q54" s="65"/>
      <c r="R54" s="65"/>
      <c r="S54" s="65"/>
      <c r="T54" s="65"/>
      <c r="U54" s="68">
        <f t="shared" si="2"/>
        <v>0</v>
      </c>
      <c r="V54" s="65"/>
      <c r="W54" s="65"/>
      <c r="X54" s="65"/>
      <c r="Y54" s="65"/>
      <c r="Z54" s="65"/>
      <c r="AA54" s="65"/>
      <c r="AB54" s="69">
        <f t="shared" si="3"/>
        <v>0</v>
      </c>
      <c r="AC54" s="70">
        <f t="shared" si="4"/>
        <v>0</v>
      </c>
    </row>
    <row r="55" spans="1:29" ht="26.25">
      <c r="A55" s="78">
        <v>49</v>
      </c>
      <c r="B55" s="160" t="str">
        <f>DATA!A50</f>
        <v>Kệ 3 Tầng Mica</v>
      </c>
      <c r="C55" s="83" t="str">
        <f>DATA!B50</f>
        <v>cái</v>
      </c>
      <c r="D55" s="84">
        <f>DATA!C50</f>
        <v>99500</v>
      </c>
      <c r="E55" s="65"/>
      <c r="F55" s="65"/>
      <c r="G55" s="65"/>
      <c r="H55" s="65"/>
      <c r="I55" s="65"/>
      <c r="J55" s="65"/>
      <c r="K55" s="65"/>
      <c r="L55" s="66">
        <f t="shared" si="0"/>
        <v>0</v>
      </c>
      <c r="M55" s="65"/>
      <c r="N55" s="65"/>
      <c r="O55" s="65"/>
      <c r="P55" s="67">
        <f t="shared" si="1"/>
        <v>0</v>
      </c>
      <c r="Q55" s="65"/>
      <c r="R55" s="65"/>
      <c r="S55" s="65"/>
      <c r="T55" s="65"/>
      <c r="U55" s="68">
        <f t="shared" si="2"/>
        <v>0</v>
      </c>
      <c r="V55" s="65"/>
      <c r="W55" s="65"/>
      <c r="X55" s="65"/>
      <c r="Y55" s="65"/>
      <c r="Z55" s="65"/>
      <c r="AA55" s="65"/>
      <c r="AB55" s="69">
        <f t="shared" si="3"/>
        <v>0</v>
      </c>
      <c r="AC55" s="70">
        <f t="shared" si="4"/>
        <v>0</v>
      </c>
    </row>
    <row r="56" spans="1:29" ht="26.25">
      <c r="A56" s="80">
        <v>50</v>
      </c>
      <c r="B56" s="160" t="str">
        <f>DATA!A51</f>
        <v>Kệ 2 Tầng Mica</v>
      </c>
      <c r="C56" s="83" t="str">
        <f>DATA!B51</f>
        <v>cái</v>
      </c>
      <c r="D56" s="84">
        <f>DATA!C51</f>
        <v>72000</v>
      </c>
      <c r="E56" s="65"/>
      <c r="F56" s="65"/>
      <c r="G56" s="65"/>
      <c r="H56" s="65"/>
      <c r="I56" s="65"/>
      <c r="J56" s="65"/>
      <c r="K56" s="65"/>
      <c r="L56" s="66">
        <f t="shared" si="0"/>
        <v>0</v>
      </c>
      <c r="M56" s="65"/>
      <c r="N56" s="65"/>
      <c r="O56" s="65"/>
      <c r="P56" s="67">
        <f t="shared" si="1"/>
        <v>0</v>
      </c>
      <c r="Q56" s="65"/>
      <c r="R56" s="65"/>
      <c r="S56" s="65"/>
      <c r="T56" s="65"/>
      <c r="U56" s="68">
        <f t="shared" si="2"/>
        <v>0</v>
      </c>
      <c r="V56" s="65"/>
      <c r="W56" s="65"/>
      <c r="X56" s="65"/>
      <c r="Y56" s="65"/>
      <c r="Z56" s="65"/>
      <c r="AA56" s="65"/>
      <c r="AB56" s="69">
        <f t="shared" si="3"/>
        <v>0</v>
      </c>
      <c r="AC56" s="70">
        <f t="shared" si="4"/>
        <v>0</v>
      </c>
    </row>
    <row r="57" spans="1:29" ht="26.25">
      <c r="A57" s="78">
        <v>51</v>
      </c>
      <c r="B57" s="160" t="str">
        <f>DATA!A52</f>
        <v>Kim Bấm 10 Plus</v>
      </c>
      <c r="C57" s="83" t="str">
        <f>DATA!B52</f>
        <v>hộp</v>
      </c>
      <c r="D57" s="84">
        <f>DATA!C52</f>
        <v>2600</v>
      </c>
      <c r="E57" s="65">
        <v>40</v>
      </c>
      <c r="F57" s="65"/>
      <c r="G57" s="65">
        <v>20</v>
      </c>
      <c r="H57" s="65"/>
      <c r="I57" s="65">
        <v>10</v>
      </c>
      <c r="J57" s="65"/>
      <c r="K57" s="65"/>
      <c r="L57" s="66">
        <f t="shared" si="0"/>
        <v>70</v>
      </c>
      <c r="M57" s="65"/>
      <c r="N57" s="65"/>
      <c r="O57" s="65"/>
      <c r="P57" s="67">
        <f t="shared" si="1"/>
        <v>0</v>
      </c>
      <c r="Q57" s="65"/>
      <c r="R57" s="65"/>
      <c r="S57" s="65"/>
      <c r="T57" s="65"/>
      <c r="U57" s="68">
        <f t="shared" si="2"/>
        <v>0</v>
      </c>
      <c r="V57" s="65"/>
      <c r="W57" s="65"/>
      <c r="X57" s="65"/>
      <c r="Y57" s="65"/>
      <c r="Z57" s="65">
        <v>10</v>
      </c>
      <c r="AA57" s="65"/>
      <c r="AB57" s="69">
        <f t="shared" si="3"/>
        <v>10</v>
      </c>
      <c r="AC57" s="70">
        <f t="shared" si="4"/>
        <v>80</v>
      </c>
    </row>
    <row r="58" spans="1:29" ht="26.25">
      <c r="A58" s="80">
        <v>52</v>
      </c>
      <c r="B58" s="160" t="str">
        <f>DATA!A53</f>
        <v>Kim Bấm 03 Plus</v>
      </c>
      <c r="C58" s="83" t="str">
        <f>DATA!B53</f>
        <v>hộp</v>
      </c>
      <c r="D58" s="84">
        <f>DATA!C53</f>
        <v>8100</v>
      </c>
      <c r="E58" s="65"/>
      <c r="F58" s="65"/>
      <c r="G58" s="65"/>
      <c r="H58" s="65"/>
      <c r="I58" s="65"/>
      <c r="J58" s="65"/>
      <c r="K58" s="65"/>
      <c r="L58" s="66">
        <f t="shared" si="0"/>
        <v>0</v>
      </c>
      <c r="M58" s="65"/>
      <c r="N58" s="65"/>
      <c r="O58" s="65"/>
      <c r="P58" s="67">
        <f t="shared" si="1"/>
        <v>0</v>
      </c>
      <c r="Q58" s="65"/>
      <c r="R58" s="65"/>
      <c r="S58" s="65"/>
      <c r="T58" s="65"/>
      <c r="U58" s="68">
        <f t="shared" si="2"/>
        <v>0</v>
      </c>
      <c r="V58" s="65"/>
      <c r="W58" s="65"/>
      <c r="X58" s="65"/>
      <c r="Y58" s="65"/>
      <c r="Z58" s="65"/>
      <c r="AA58" s="65"/>
      <c r="AB58" s="69">
        <f t="shared" si="3"/>
        <v>0</v>
      </c>
      <c r="AC58" s="70">
        <f t="shared" si="4"/>
        <v>0</v>
      </c>
    </row>
    <row r="59" spans="1:29" ht="26.25">
      <c r="A59" s="78">
        <v>53</v>
      </c>
      <c r="B59" s="160" t="str">
        <f>DATA!A54</f>
        <v xml:space="preserve">Ly nhựa 390ml </v>
      </c>
      <c r="C59" s="83" t="str">
        <f>DATA!B54</f>
        <v>cái</v>
      </c>
      <c r="D59" s="84">
        <f>DATA!C54</f>
        <v>200</v>
      </c>
      <c r="E59" s="65"/>
      <c r="F59" s="65"/>
      <c r="G59" s="65"/>
      <c r="H59" s="65"/>
      <c r="I59" s="65"/>
      <c r="J59" s="65"/>
      <c r="K59" s="65"/>
      <c r="L59" s="66">
        <f t="shared" si="0"/>
        <v>0</v>
      </c>
      <c r="M59" s="65"/>
      <c r="N59" s="65"/>
      <c r="O59" s="65"/>
      <c r="P59" s="67">
        <f t="shared" si="1"/>
        <v>0</v>
      </c>
      <c r="Q59" s="65"/>
      <c r="R59" s="65"/>
      <c r="S59" s="65"/>
      <c r="T59" s="65"/>
      <c r="U59" s="68">
        <f t="shared" si="2"/>
        <v>0</v>
      </c>
      <c r="V59" s="65"/>
      <c r="W59" s="65"/>
      <c r="X59" s="65"/>
      <c r="Y59" s="65"/>
      <c r="Z59" s="65"/>
      <c r="AA59" s="65"/>
      <c r="AB59" s="69">
        <f t="shared" si="3"/>
        <v>0</v>
      </c>
      <c r="AC59" s="70">
        <f t="shared" si="4"/>
        <v>0</v>
      </c>
    </row>
    <row r="60" spans="1:29" ht="26.25">
      <c r="A60" s="80">
        <v>54</v>
      </c>
      <c r="B60" s="160" t="str">
        <f>DATA!A55</f>
        <v>Máy Tính Casio Js-120L/Jf-120</v>
      </c>
      <c r="C60" s="83" t="str">
        <f>DATA!B55</f>
        <v>cái</v>
      </c>
      <c r="D60" s="84">
        <f>DATA!C55</f>
        <v>75000</v>
      </c>
      <c r="E60" s="65"/>
      <c r="F60" s="65"/>
      <c r="G60" s="65"/>
      <c r="H60" s="65"/>
      <c r="I60" s="65"/>
      <c r="J60" s="65"/>
      <c r="K60" s="65"/>
      <c r="L60" s="66">
        <f t="shared" si="0"/>
        <v>0</v>
      </c>
      <c r="M60" s="65"/>
      <c r="N60" s="65"/>
      <c r="O60" s="65"/>
      <c r="P60" s="67">
        <f t="shared" si="1"/>
        <v>0</v>
      </c>
      <c r="Q60" s="65"/>
      <c r="R60" s="65"/>
      <c r="S60" s="65"/>
      <c r="T60" s="65"/>
      <c r="U60" s="68">
        <f t="shared" si="2"/>
        <v>0</v>
      </c>
      <c r="V60" s="65"/>
      <c r="W60" s="65"/>
      <c r="X60" s="65"/>
      <c r="Y60" s="65"/>
      <c r="Z60" s="65"/>
      <c r="AA60" s="65"/>
      <c r="AB60" s="69">
        <f t="shared" si="3"/>
        <v>0</v>
      </c>
      <c r="AC60" s="70">
        <f t="shared" si="4"/>
        <v>0</v>
      </c>
    </row>
    <row r="61" spans="1:29" ht="26.25">
      <c r="A61" s="78">
        <v>55</v>
      </c>
      <c r="B61" s="160" t="str">
        <f>DATA!A56</f>
        <v>Mực Viết Lông Dầu Artline (đen)</v>
      </c>
      <c r="C61" s="83" t="str">
        <f>DATA!B56</f>
        <v>hộp</v>
      </c>
      <c r="D61" s="84">
        <f>DATA!C56</f>
        <v>32000</v>
      </c>
      <c r="E61" s="65"/>
      <c r="F61" s="65"/>
      <c r="G61" s="65"/>
      <c r="H61" s="65"/>
      <c r="I61" s="65"/>
      <c r="J61" s="65"/>
      <c r="K61" s="65"/>
      <c r="L61" s="66">
        <f t="shared" si="0"/>
        <v>0</v>
      </c>
      <c r="M61" s="65"/>
      <c r="N61" s="65"/>
      <c r="O61" s="65"/>
      <c r="P61" s="67">
        <f t="shared" si="1"/>
        <v>0</v>
      </c>
      <c r="Q61" s="65"/>
      <c r="R61" s="65"/>
      <c r="S61" s="65"/>
      <c r="T61" s="65"/>
      <c r="U61" s="68">
        <f t="shared" si="2"/>
        <v>0</v>
      </c>
      <c r="V61" s="65"/>
      <c r="W61" s="65"/>
      <c r="X61" s="65"/>
      <c r="Y61" s="65"/>
      <c r="Z61" s="65"/>
      <c r="AA61" s="65"/>
      <c r="AB61" s="69">
        <f t="shared" si="3"/>
        <v>0</v>
      </c>
      <c r="AC61" s="70">
        <f t="shared" si="4"/>
        <v>0</v>
      </c>
    </row>
    <row r="62" spans="1:29" ht="26.25">
      <c r="A62" s="80">
        <v>56</v>
      </c>
      <c r="B62" s="160" t="str">
        <f>DATA!A57</f>
        <v>Mực Viết Lông Dầu Artline (đỏ)</v>
      </c>
      <c r="C62" s="83" t="str">
        <f>DATA!B57</f>
        <v>hộp</v>
      </c>
      <c r="D62" s="84">
        <f>DATA!C57</f>
        <v>32000</v>
      </c>
      <c r="E62" s="65"/>
      <c r="F62" s="65"/>
      <c r="G62" s="65"/>
      <c r="H62" s="65"/>
      <c r="I62" s="65">
        <v>3</v>
      </c>
      <c r="J62" s="65"/>
      <c r="K62" s="65"/>
      <c r="L62" s="66">
        <f t="shared" si="0"/>
        <v>3</v>
      </c>
      <c r="M62" s="65"/>
      <c r="N62" s="65"/>
      <c r="O62" s="65"/>
      <c r="P62" s="67">
        <f t="shared" si="1"/>
        <v>0</v>
      </c>
      <c r="Q62" s="65"/>
      <c r="R62" s="65"/>
      <c r="S62" s="65"/>
      <c r="T62" s="65"/>
      <c r="U62" s="68">
        <f t="shared" si="2"/>
        <v>0</v>
      </c>
      <c r="V62" s="65"/>
      <c r="W62" s="65"/>
      <c r="X62" s="65"/>
      <c r="Y62" s="65"/>
      <c r="Z62" s="65"/>
      <c r="AA62" s="65"/>
      <c r="AB62" s="69">
        <f t="shared" si="3"/>
        <v>0</v>
      </c>
      <c r="AC62" s="70">
        <f t="shared" si="4"/>
        <v>3</v>
      </c>
    </row>
    <row r="63" spans="1:29" ht="26.25">
      <c r="A63" s="78">
        <v>57</v>
      </c>
      <c r="B63" s="160" t="str">
        <f>DATA!A58</f>
        <v>Mực Shiny (đỏ)</v>
      </c>
      <c r="C63" s="83" t="str">
        <f>DATA!B58</f>
        <v>Lọ</v>
      </c>
      <c r="D63" s="84">
        <f>DATA!C58</f>
        <v>33000</v>
      </c>
      <c r="E63" s="65">
        <v>2</v>
      </c>
      <c r="F63" s="65"/>
      <c r="G63" s="65"/>
      <c r="H63" s="65"/>
      <c r="I63" s="65"/>
      <c r="J63" s="65"/>
      <c r="K63" s="65"/>
      <c r="L63" s="66">
        <f t="shared" si="0"/>
        <v>2</v>
      </c>
      <c r="M63" s="65"/>
      <c r="N63" s="65"/>
      <c r="O63" s="65"/>
      <c r="P63" s="67">
        <f t="shared" si="1"/>
        <v>0</v>
      </c>
      <c r="Q63" s="65"/>
      <c r="R63" s="65"/>
      <c r="S63" s="65"/>
      <c r="T63" s="65"/>
      <c r="U63" s="68">
        <f t="shared" si="2"/>
        <v>0</v>
      </c>
      <c r="V63" s="65"/>
      <c r="W63" s="65"/>
      <c r="X63" s="65"/>
      <c r="Y63" s="65"/>
      <c r="Z63" s="65"/>
      <c r="AA63" s="65"/>
      <c r="AB63" s="69">
        <f t="shared" si="3"/>
        <v>0</v>
      </c>
      <c r="AC63" s="70">
        <f t="shared" si="4"/>
        <v>2</v>
      </c>
    </row>
    <row r="64" spans="1:29" ht="26.25">
      <c r="A64" s="80">
        <v>58</v>
      </c>
      <c r="B64" s="160" t="str">
        <f>DATA!A59</f>
        <v>Mực viết lông bảng</v>
      </c>
      <c r="C64" s="83" t="str">
        <f>DATA!B59</f>
        <v>hộp</v>
      </c>
      <c r="D64" s="84">
        <f>DATA!C59</f>
        <v>14500</v>
      </c>
      <c r="E64" s="65"/>
      <c r="F64" s="65"/>
      <c r="G64" s="65"/>
      <c r="H64" s="65"/>
      <c r="I64" s="65"/>
      <c r="J64" s="65"/>
      <c r="K64" s="65"/>
      <c r="L64" s="66">
        <f t="shared" si="0"/>
        <v>0</v>
      </c>
      <c r="M64" s="65"/>
      <c r="N64" s="65"/>
      <c r="O64" s="65"/>
      <c r="P64" s="67">
        <f t="shared" si="1"/>
        <v>0</v>
      </c>
      <c r="Q64" s="65"/>
      <c r="R64" s="65"/>
      <c r="S64" s="65"/>
      <c r="T64" s="65"/>
      <c r="U64" s="68">
        <f t="shared" si="2"/>
        <v>0</v>
      </c>
      <c r="V64" s="65"/>
      <c r="W64" s="65"/>
      <c r="X64" s="65"/>
      <c r="Y64" s="65"/>
      <c r="Z64" s="65"/>
      <c r="AA64" s="65"/>
      <c r="AB64" s="69">
        <f t="shared" si="3"/>
        <v>0</v>
      </c>
      <c r="AC64" s="70">
        <f t="shared" si="4"/>
        <v>0</v>
      </c>
    </row>
    <row r="65" spans="1:29" ht="26.25">
      <c r="A65" s="78">
        <v>59</v>
      </c>
      <c r="B65" s="160" t="str">
        <f>DATA!A60</f>
        <v>Nhựa Ép Plastic A4 D9L 80</v>
      </c>
      <c r="C65" s="83" t="str">
        <f>DATA!B60</f>
        <v>hộp</v>
      </c>
      <c r="D65" s="84">
        <f>DATA!C60</f>
        <v>135000</v>
      </c>
      <c r="E65" s="65"/>
      <c r="F65" s="65"/>
      <c r="G65" s="65"/>
      <c r="H65" s="65"/>
      <c r="I65" s="65"/>
      <c r="J65" s="65"/>
      <c r="K65" s="65">
        <v>1</v>
      </c>
      <c r="L65" s="66">
        <f t="shared" si="0"/>
        <v>1</v>
      </c>
      <c r="M65" s="65"/>
      <c r="N65" s="65"/>
      <c r="O65" s="65"/>
      <c r="P65" s="67">
        <f t="shared" si="1"/>
        <v>0</v>
      </c>
      <c r="Q65" s="65"/>
      <c r="R65" s="65"/>
      <c r="S65" s="65"/>
      <c r="T65" s="65"/>
      <c r="U65" s="68">
        <f t="shared" si="2"/>
        <v>0</v>
      </c>
      <c r="V65" s="65"/>
      <c r="W65" s="65"/>
      <c r="X65" s="65"/>
      <c r="Y65" s="65"/>
      <c r="Z65" s="65"/>
      <c r="AA65" s="65"/>
      <c r="AB65" s="69">
        <f t="shared" si="3"/>
        <v>0</v>
      </c>
      <c r="AC65" s="70">
        <f t="shared" si="4"/>
        <v>1</v>
      </c>
    </row>
    <row r="66" spans="1:29" ht="26.25">
      <c r="A66" s="80">
        <v>60</v>
      </c>
      <c r="B66" s="160" t="str">
        <f>DATA!A61</f>
        <v>Nước rửa chén giặt khăn</v>
      </c>
      <c r="C66" s="83" t="str">
        <f>DATA!B61</f>
        <v>Chai</v>
      </c>
      <c r="D66" s="84">
        <f>DATA!C61</f>
        <v>22000</v>
      </c>
      <c r="E66" s="65"/>
      <c r="F66" s="65"/>
      <c r="G66" s="65"/>
      <c r="H66" s="65"/>
      <c r="I66" s="65"/>
      <c r="J66" s="65"/>
      <c r="K66" s="65"/>
      <c r="L66" s="66">
        <f t="shared" si="0"/>
        <v>0</v>
      </c>
      <c r="M66" s="65"/>
      <c r="N66" s="65"/>
      <c r="O66" s="65"/>
      <c r="P66" s="67">
        <f t="shared" si="1"/>
        <v>0</v>
      </c>
      <c r="Q66" s="65"/>
      <c r="R66" s="65"/>
      <c r="S66" s="65"/>
      <c r="T66" s="65"/>
      <c r="U66" s="68">
        <f t="shared" si="2"/>
        <v>0</v>
      </c>
      <c r="V66" s="65"/>
      <c r="W66" s="65"/>
      <c r="X66" s="65"/>
      <c r="Y66" s="65"/>
      <c r="Z66" s="65"/>
      <c r="AA66" s="65"/>
      <c r="AB66" s="69">
        <f t="shared" si="3"/>
        <v>0</v>
      </c>
      <c r="AC66" s="70">
        <f t="shared" si="4"/>
        <v>0</v>
      </c>
    </row>
    <row r="67" spans="1:29" ht="26.25">
      <c r="A67" s="78">
        <v>61</v>
      </c>
      <c r="B67" s="160" t="str">
        <f>DATA!A62</f>
        <v>Nước tẩy Sumo đa năng 700g</v>
      </c>
      <c r="C67" s="83" t="str">
        <f>DATA!B62</f>
        <v>chai</v>
      </c>
      <c r="D67" s="84">
        <f>DATA!C62</f>
        <v>23000</v>
      </c>
      <c r="E67" s="65"/>
      <c r="F67" s="65"/>
      <c r="G67" s="65"/>
      <c r="H67" s="65"/>
      <c r="I67" s="65"/>
      <c r="J67" s="65"/>
      <c r="K67" s="65"/>
      <c r="L67" s="66">
        <f t="shared" si="0"/>
        <v>0</v>
      </c>
      <c r="M67" s="65"/>
      <c r="N67" s="65"/>
      <c r="O67" s="65"/>
      <c r="P67" s="67">
        <f t="shared" si="1"/>
        <v>0</v>
      </c>
      <c r="Q67" s="65"/>
      <c r="R67" s="65"/>
      <c r="S67" s="65"/>
      <c r="T67" s="65"/>
      <c r="U67" s="68">
        <f t="shared" si="2"/>
        <v>0</v>
      </c>
      <c r="V67" s="65"/>
      <c r="W67" s="65"/>
      <c r="X67" s="65"/>
      <c r="Y67" s="65"/>
      <c r="Z67" s="65"/>
      <c r="AA67" s="65"/>
      <c r="AB67" s="69">
        <f t="shared" si="3"/>
        <v>0</v>
      </c>
      <c r="AC67" s="70">
        <f t="shared" si="4"/>
        <v>0</v>
      </c>
    </row>
    <row r="68" spans="1:29" ht="26.25">
      <c r="A68" s="80">
        <v>62</v>
      </c>
      <c r="B68" s="160" t="str">
        <f>DATA!A63</f>
        <v>Pin Con Ó 2A (thử đồ chơi)</v>
      </c>
      <c r="C68" s="83" t="str">
        <f>DATA!B63</f>
        <v>cục</v>
      </c>
      <c r="D68" s="84">
        <f>DATA!C63</f>
        <v>1250</v>
      </c>
      <c r="E68" s="65"/>
      <c r="F68" s="65"/>
      <c r="G68" s="65"/>
      <c r="H68" s="65"/>
      <c r="I68" s="65"/>
      <c r="J68" s="65"/>
      <c r="K68" s="65"/>
      <c r="L68" s="66">
        <f t="shared" si="0"/>
        <v>0</v>
      </c>
      <c r="M68" s="65"/>
      <c r="N68" s="65"/>
      <c r="O68" s="65"/>
      <c r="P68" s="67">
        <f t="shared" si="1"/>
        <v>0</v>
      </c>
      <c r="Q68" s="65"/>
      <c r="R68" s="65"/>
      <c r="S68" s="65"/>
      <c r="T68" s="65"/>
      <c r="U68" s="68">
        <f t="shared" si="2"/>
        <v>0</v>
      </c>
      <c r="V68" s="65"/>
      <c r="W68" s="65"/>
      <c r="X68" s="65"/>
      <c r="Y68" s="65"/>
      <c r="Z68" s="65"/>
      <c r="AA68" s="65"/>
      <c r="AB68" s="69">
        <f t="shared" si="3"/>
        <v>0</v>
      </c>
      <c r="AC68" s="70">
        <f t="shared" si="4"/>
        <v>0</v>
      </c>
    </row>
    <row r="69" spans="1:29" ht="26.25">
      <c r="A69" s="78">
        <v>63</v>
      </c>
      <c r="B69" s="160" t="str">
        <f>DATA!A64</f>
        <v>Ruột viết chì 0.5</v>
      </c>
      <c r="C69" s="83" t="str">
        <f>DATA!B64</f>
        <v>hộp</v>
      </c>
      <c r="D69" s="84">
        <f>DATA!C64</f>
        <v>6900</v>
      </c>
      <c r="E69" s="65"/>
      <c r="F69" s="65"/>
      <c r="G69" s="65"/>
      <c r="H69" s="65"/>
      <c r="I69" s="65"/>
      <c r="J69" s="65"/>
      <c r="K69" s="65"/>
      <c r="L69" s="66">
        <f t="shared" si="0"/>
        <v>0</v>
      </c>
      <c r="M69" s="65"/>
      <c r="N69" s="65"/>
      <c r="O69" s="65"/>
      <c r="P69" s="67">
        <f t="shared" si="1"/>
        <v>0</v>
      </c>
      <c r="Q69" s="65"/>
      <c r="R69" s="65"/>
      <c r="S69" s="65"/>
      <c r="T69" s="65"/>
      <c r="U69" s="68">
        <f t="shared" si="2"/>
        <v>0</v>
      </c>
      <c r="V69" s="65"/>
      <c r="W69" s="65"/>
      <c r="X69" s="65"/>
      <c r="Y69" s="65"/>
      <c r="Z69" s="65"/>
      <c r="AA69" s="65"/>
      <c r="AB69" s="69">
        <f t="shared" si="3"/>
        <v>0</v>
      </c>
      <c r="AC69" s="70">
        <f t="shared" si="4"/>
        <v>0</v>
      </c>
    </row>
    <row r="70" spans="1:29" ht="26.25">
      <c r="A70" s="80">
        <v>64</v>
      </c>
      <c r="B70" s="160" t="str">
        <f>DATA!A65</f>
        <v>Ruột viết chì 0.7</v>
      </c>
      <c r="C70" s="83" t="str">
        <f>DATA!B65</f>
        <v>hộp</v>
      </c>
      <c r="D70" s="84">
        <f>DATA!C65</f>
        <v>12500</v>
      </c>
      <c r="E70" s="65"/>
      <c r="F70" s="65"/>
      <c r="G70" s="65"/>
      <c r="H70" s="65"/>
      <c r="I70" s="65"/>
      <c r="J70" s="65"/>
      <c r="K70" s="65"/>
      <c r="L70" s="66">
        <f t="shared" si="0"/>
        <v>0</v>
      </c>
      <c r="M70" s="65"/>
      <c r="N70" s="65"/>
      <c r="O70" s="65"/>
      <c r="P70" s="67">
        <f t="shared" si="1"/>
        <v>0</v>
      </c>
      <c r="Q70" s="65"/>
      <c r="R70" s="65"/>
      <c r="S70" s="65"/>
      <c r="T70" s="65"/>
      <c r="U70" s="68">
        <f t="shared" si="2"/>
        <v>0</v>
      </c>
      <c r="V70" s="65"/>
      <c r="W70" s="65"/>
      <c r="X70" s="65"/>
      <c r="Y70" s="65"/>
      <c r="Z70" s="65"/>
      <c r="AA70" s="65"/>
      <c r="AB70" s="69">
        <f t="shared" si="3"/>
        <v>0</v>
      </c>
      <c r="AC70" s="70">
        <f t="shared" si="4"/>
        <v>0</v>
      </c>
    </row>
    <row r="71" spans="1:29" ht="26.25">
      <c r="A71" s="78">
        <v>65</v>
      </c>
      <c r="B71" s="160" t="str">
        <f>DATA!A66</f>
        <v>Sáp Đếm Tiền</v>
      </c>
      <c r="C71" s="83" t="str">
        <f>DATA!B66</f>
        <v>hộp</v>
      </c>
      <c r="D71" s="84">
        <f>DATA!C66</f>
        <v>4800</v>
      </c>
      <c r="E71" s="65">
        <v>2</v>
      </c>
      <c r="F71" s="65"/>
      <c r="G71" s="65"/>
      <c r="H71" s="65"/>
      <c r="I71" s="65"/>
      <c r="J71" s="65"/>
      <c r="K71" s="65"/>
      <c r="L71" s="66">
        <f t="shared" si="0"/>
        <v>2</v>
      </c>
      <c r="M71" s="65"/>
      <c r="N71" s="65"/>
      <c r="O71" s="65"/>
      <c r="P71" s="67">
        <f t="shared" si="1"/>
        <v>0</v>
      </c>
      <c r="Q71" s="65"/>
      <c r="R71" s="65"/>
      <c r="S71" s="65"/>
      <c r="T71" s="65"/>
      <c r="U71" s="68">
        <f t="shared" si="2"/>
        <v>0</v>
      </c>
      <c r="V71" s="65"/>
      <c r="W71" s="65"/>
      <c r="X71" s="65"/>
      <c r="Y71" s="65"/>
      <c r="Z71" s="65"/>
      <c r="AA71" s="65"/>
      <c r="AB71" s="69">
        <f t="shared" si="3"/>
        <v>0</v>
      </c>
      <c r="AC71" s="70">
        <f t="shared" si="4"/>
        <v>2</v>
      </c>
    </row>
    <row r="72" spans="1:29" ht="26.25">
      <c r="A72" s="80">
        <v>66</v>
      </c>
      <c r="B72" s="160" t="str">
        <f>DATA!A67</f>
        <v>Sổ Caro 25X35 Dày (cắt đầu)</v>
      </c>
      <c r="C72" s="83" t="str">
        <f>DATA!B67</f>
        <v>Cuốn</v>
      </c>
      <c r="D72" s="84">
        <f>DATA!C67</f>
        <v>26500</v>
      </c>
      <c r="E72" s="65"/>
      <c r="F72" s="65"/>
      <c r="G72" s="65"/>
      <c r="H72" s="65"/>
      <c r="I72" s="65"/>
      <c r="J72" s="65"/>
      <c r="K72" s="65"/>
      <c r="L72" s="66">
        <f t="shared" ref="L72:L99" si="5">SUM(E72:K72)</f>
        <v>0</v>
      </c>
      <c r="M72" s="65"/>
      <c r="N72" s="65"/>
      <c r="O72" s="65"/>
      <c r="P72" s="67">
        <f t="shared" ref="P72:P99" si="6">SUM(M72:O72)</f>
        <v>0</v>
      </c>
      <c r="Q72" s="65"/>
      <c r="R72" s="65"/>
      <c r="S72" s="65"/>
      <c r="T72" s="65"/>
      <c r="U72" s="68">
        <f t="shared" ref="U72:U99" si="7">SUM(Q72:T72)</f>
        <v>0</v>
      </c>
      <c r="V72" s="65"/>
      <c r="W72" s="65"/>
      <c r="X72" s="65"/>
      <c r="Y72" s="65"/>
      <c r="Z72" s="65"/>
      <c r="AA72" s="65"/>
      <c r="AB72" s="69">
        <f t="shared" ref="AB72:AB99" si="8">SUM(V72:AA72)</f>
        <v>0</v>
      </c>
      <c r="AC72" s="70">
        <f t="shared" ref="AC72:AC99" si="9">L72+P72+U72+AB72</f>
        <v>0</v>
      </c>
    </row>
    <row r="73" spans="1:29" ht="26.25">
      <c r="A73" s="78">
        <v>67</v>
      </c>
      <c r="B73" s="160" t="str">
        <f>DATA!A68</f>
        <v>Sổ Caro 30X40 Dày (cắt đầu)</v>
      </c>
      <c r="C73" s="83" t="str">
        <f>DATA!B68</f>
        <v>Cuốn</v>
      </c>
      <c r="D73" s="84">
        <f>DATA!C68</f>
        <v>38000</v>
      </c>
      <c r="E73" s="65"/>
      <c r="F73" s="65"/>
      <c r="G73" s="65">
        <v>2</v>
      </c>
      <c r="H73" s="65"/>
      <c r="I73" s="65"/>
      <c r="J73" s="65"/>
      <c r="K73" s="65"/>
      <c r="L73" s="66">
        <f t="shared" si="5"/>
        <v>2</v>
      </c>
      <c r="M73" s="65"/>
      <c r="N73" s="65"/>
      <c r="O73" s="65"/>
      <c r="P73" s="67">
        <f t="shared" si="6"/>
        <v>0</v>
      </c>
      <c r="Q73" s="65"/>
      <c r="R73" s="65"/>
      <c r="S73" s="65"/>
      <c r="T73" s="65"/>
      <c r="U73" s="68">
        <f t="shared" si="7"/>
        <v>0</v>
      </c>
      <c r="V73" s="65"/>
      <c r="W73" s="65"/>
      <c r="X73" s="65"/>
      <c r="Y73" s="65"/>
      <c r="Z73" s="65"/>
      <c r="AA73" s="65"/>
      <c r="AB73" s="69">
        <f t="shared" si="8"/>
        <v>0</v>
      </c>
      <c r="AC73" s="70">
        <f t="shared" si="9"/>
        <v>2</v>
      </c>
    </row>
    <row r="74" spans="1:29" ht="26.25">
      <c r="A74" s="80">
        <v>68</v>
      </c>
      <c r="B74" s="160" t="str">
        <f>DATA!A69</f>
        <v>Sổ ghi nhật ký (sổ trung cắt sẵn)</v>
      </c>
      <c r="C74" s="83" t="str">
        <f>DATA!B69</f>
        <v>Cuốn</v>
      </c>
      <c r="D74" s="84">
        <f>DATA!C69</f>
        <v>27500</v>
      </c>
      <c r="E74" s="65"/>
      <c r="F74" s="65"/>
      <c r="G74" s="65"/>
      <c r="H74" s="65"/>
      <c r="I74" s="65"/>
      <c r="J74" s="65"/>
      <c r="K74" s="65"/>
      <c r="L74" s="66">
        <f t="shared" si="5"/>
        <v>0</v>
      </c>
      <c r="M74" s="65"/>
      <c r="N74" s="65"/>
      <c r="O74" s="65"/>
      <c r="P74" s="67">
        <f t="shared" si="6"/>
        <v>0</v>
      </c>
      <c r="Q74" s="65"/>
      <c r="R74" s="65"/>
      <c r="S74" s="65"/>
      <c r="T74" s="65"/>
      <c r="U74" s="68">
        <f t="shared" si="7"/>
        <v>0</v>
      </c>
      <c r="V74" s="65"/>
      <c r="W74" s="65"/>
      <c r="X74" s="65"/>
      <c r="Y74" s="65"/>
      <c r="Z74" s="65"/>
      <c r="AA74" s="65"/>
      <c r="AB74" s="69">
        <f t="shared" si="8"/>
        <v>0</v>
      </c>
      <c r="AC74" s="70">
        <f t="shared" si="9"/>
        <v>0</v>
      </c>
    </row>
    <row r="75" spans="1:29" ht="26.25">
      <c r="A75" s="78">
        <v>69</v>
      </c>
      <c r="B75" s="160" t="str">
        <f>DATA!A70</f>
        <v xml:space="preserve">Tập 100 Trang </v>
      </c>
      <c r="C75" s="83" t="str">
        <f>DATA!B70</f>
        <v>cuốn</v>
      </c>
      <c r="D75" s="84">
        <f>DATA!C70</f>
        <v>2500</v>
      </c>
      <c r="E75" s="65"/>
      <c r="F75" s="65"/>
      <c r="G75" s="65"/>
      <c r="H75" s="65"/>
      <c r="I75" s="65"/>
      <c r="J75" s="65"/>
      <c r="K75" s="65"/>
      <c r="L75" s="66">
        <f t="shared" si="5"/>
        <v>0</v>
      </c>
      <c r="M75" s="65"/>
      <c r="N75" s="65"/>
      <c r="O75" s="65"/>
      <c r="P75" s="67">
        <f t="shared" si="6"/>
        <v>0</v>
      </c>
      <c r="Q75" s="65"/>
      <c r="R75" s="65"/>
      <c r="S75" s="65"/>
      <c r="T75" s="65"/>
      <c r="U75" s="68">
        <f t="shared" si="7"/>
        <v>0</v>
      </c>
      <c r="V75" s="65"/>
      <c r="W75" s="65"/>
      <c r="X75" s="65"/>
      <c r="Y75" s="65"/>
      <c r="Z75" s="65"/>
      <c r="AA75" s="65"/>
      <c r="AB75" s="69">
        <f t="shared" si="8"/>
        <v>0</v>
      </c>
      <c r="AC75" s="70">
        <f t="shared" si="9"/>
        <v>0</v>
      </c>
    </row>
    <row r="76" spans="1:29" ht="26.25">
      <c r="A76" s="80">
        <v>70</v>
      </c>
      <c r="B76" s="160" t="str">
        <f>DATA!A71</f>
        <v>Tập  200 trang</v>
      </c>
      <c r="C76" s="83" t="str">
        <f>DATA!B71</f>
        <v>cuốn</v>
      </c>
      <c r="D76" s="84">
        <f>DATA!C71</f>
        <v>8000</v>
      </c>
      <c r="E76" s="65"/>
      <c r="F76" s="65"/>
      <c r="G76" s="65"/>
      <c r="H76" s="65"/>
      <c r="I76" s="65"/>
      <c r="J76" s="65"/>
      <c r="K76" s="65"/>
      <c r="L76" s="66">
        <f t="shared" si="5"/>
        <v>0</v>
      </c>
      <c r="M76" s="65"/>
      <c r="N76" s="65"/>
      <c r="O76" s="65"/>
      <c r="P76" s="67">
        <f t="shared" si="6"/>
        <v>0</v>
      </c>
      <c r="Q76" s="65"/>
      <c r="R76" s="65"/>
      <c r="S76" s="65"/>
      <c r="T76" s="65"/>
      <c r="U76" s="68">
        <f t="shared" si="7"/>
        <v>0</v>
      </c>
      <c r="V76" s="65"/>
      <c r="W76" s="65"/>
      <c r="X76" s="65"/>
      <c r="Y76" s="65"/>
      <c r="Z76" s="65"/>
      <c r="AA76" s="65"/>
      <c r="AB76" s="69">
        <f t="shared" si="8"/>
        <v>0</v>
      </c>
      <c r="AC76" s="70">
        <f t="shared" si="9"/>
        <v>0</v>
      </c>
    </row>
    <row r="77" spans="1:29" ht="26.25">
      <c r="A77" s="78">
        <v>71</v>
      </c>
      <c r="B77" s="160" t="str">
        <f>DATA!A72</f>
        <v>Viết Lông Dầu Artline 700 (đỏ)</v>
      </c>
      <c r="C77" s="83" t="str">
        <f>DATA!B72</f>
        <v>cây</v>
      </c>
      <c r="D77" s="84">
        <f>DATA!C72</f>
        <v>22000</v>
      </c>
      <c r="E77" s="65"/>
      <c r="F77" s="65"/>
      <c r="G77" s="65"/>
      <c r="H77" s="65"/>
      <c r="I77" s="65"/>
      <c r="J77" s="65"/>
      <c r="K77" s="65"/>
      <c r="L77" s="66">
        <f t="shared" si="5"/>
        <v>0</v>
      </c>
      <c r="M77" s="65"/>
      <c r="N77" s="65"/>
      <c r="O77" s="65"/>
      <c r="P77" s="67">
        <f t="shared" si="6"/>
        <v>0</v>
      </c>
      <c r="Q77" s="65"/>
      <c r="R77" s="65"/>
      <c r="S77" s="65"/>
      <c r="T77" s="65"/>
      <c r="U77" s="68">
        <f t="shared" si="7"/>
        <v>0</v>
      </c>
      <c r="V77" s="65"/>
      <c r="W77" s="65"/>
      <c r="X77" s="65"/>
      <c r="Y77" s="65"/>
      <c r="Z77" s="65"/>
      <c r="AA77" s="65"/>
      <c r="AB77" s="69">
        <f t="shared" si="8"/>
        <v>0</v>
      </c>
      <c r="AC77" s="70">
        <f t="shared" si="9"/>
        <v>0</v>
      </c>
    </row>
    <row r="78" spans="1:29" ht="26.25">
      <c r="A78" s="80">
        <v>72</v>
      </c>
      <c r="B78" s="160" t="str">
        <f>DATA!A73</f>
        <v>Viết Lông Dầu Artline 700 (đen)</v>
      </c>
      <c r="C78" s="83" t="str">
        <f>DATA!B73</f>
        <v>cây</v>
      </c>
      <c r="D78" s="84">
        <f>DATA!C73</f>
        <v>22000</v>
      </c>
      <c r="E78" s="65"/>
      <c r="F78" s="65"/>
      <c r="G78" s="65"/>
      <c r="H78" s="65"/>
      <c r="I78" s="65">
        <v>3</v>
      </c>
      <c r="J78" s="65"/>
      <c r="K78" s="65"/>
      <c r="L78" s="66">
        <f t="shared" si="5"/>
        <v>3</v>
      </c>
      <c r="M78" s="65"/>
      <c r="N78" s="65"/>
      <c r="O78" s="65"/>
      <c r="P78" s="67">
        <f t="shared" si="6"/>
        <v>0</v>
      </c>
      <c r="Q78" s="65"/>
      <c r="R78" s="65"/>
      <c r="S78" s="65"/>
      <c r="T78" s="65"/>
      <c r="U78" s="68">
        <f t="shared" si="7"/>
        <v>0</v>
      </c>
      <c r="V78" s="65"/>
      <c r="W78" s="65"/>
      <c r="X78" s="65"/>
      <c r="Y78" s="65"/>
      <c r="Z78" s="65"/>
      <c r="AA78" s="65"/>
      <c r="AB78" s="69">
        <f t="shared" si="8"/>
        <v>0</v>
      </c>
      <c r="AC78" s="70">
        <f t="shared" si="9"/>
        <v>3</v>
      </c>
    </row>
    <row r="79" spans="1:29" ht="26.25">
      <c r="A79" s="78">
        <v>73</v>
      </c>
      <c r="B79" s="160" t="str">
        <f>DATA!A74</f>
        <v>Viết Lông Dầu Artline 725 (đen)</v>
      </c>
      <c r="C79" s="83" t="str">
        <f>DATA!B74</f>
        <v>cây</v>
      </c>
      <c r="D79" s="84">
        <f>DATA!C74</f>
        <v>21000</v>
      </c>
      <c r="E79" s="65"/>
      <c r="F79" s="65"/>
      <c r="G79" s="65"/>
      <c r="H79" s="65"/>
      <c r="I79" s="65">
        <v>3</v>
      </c>
      <c r="J79" s="65"/>
      <c r="K79" s="65"/>
      <c r="L79" s="66">
        <f t="shared" si="5"/>
        <v>3</v>
      </c>
      <c r="M79" s="65"/>
      <c r="N79" s="65"/>
      <c r="O79" s="65"/>
      <c r="P79" s="67">
        <f t="shared" si="6"/>
        <v>0</v>
      </c>
      <c r="Q79" s="65"/>
      <c r="R79" s="65"/>
      <c r="S79" s="65"/>
      <c r="T79" s="65"/>
      <c r="U79" s="68">
        <f t="shared" si="7"/>
        <v>0</v>
      </c>
      <c r="V79" s="65"/>
      <c r="W79" s="65"/>
      <c r="X79" s="65"/>
      <c r="Y79" s="65"/>
      <c r="Z79" s="65"/>
      <c r="AA79" s="65"/>
      <c r="AB79" s="69">
        <f t="shared" si="8"/>
        <v>0</v>
      </c>
      <c r="AC79" s="70">
        <f t="shared" si="9"/>
        <v>3</v>
      </c>
    </row>
    <row r="80" spans="1:29" ht="26.25">
      <c r="A80" s="80">
        <v>74</v>
      </c>
      <c r="B80" s="160" t="str">
        <f>DATA!A75</f>
        <v>Viết Lông Dầu Artline 725 (đỏ)</v>
      </c>
      <c r="C80" s="83" t="str">
        <f>DATA!B75</f>
        <v>cây</v>
      </c>
      <c r="D80" s="84">
        <f>DATA!C75</f>
        <v>21000</v>
      </c>
      <c r="E80" s="65"/>
      <c r="F80" s="65"/>
      <c r="G80" s="65"/>
      <c r="H80" s="65"/>
      <c r="I80" s="65"/>
      <c r="J80" s="65"/>
      <c r="K80" s="65"/>
      <c r="L80" s="66">
        <f t="shared" si="5"/>
        <v>0</v>
      </c>
      <c r="M80" s="65"/>
      <c r="N80" s="65"/>
      <c r="O80" s="65"/>
      <c r="P80" s="67">
        <f t="shared" si="6"/>
        <v>0</v>
      </c>
      <c r="Q80" s="65"/>
      <c r="R80" s="65"/>
      <c r="S80" s="65"/>
      <c r="T80" s="65"/>
      <c r="U80" s="68">
        <f t="shared" si="7"/>
        <v>0</v>
      </c>
      <c r="V80" s="65"/>
      <c r="W80" s="65"/>
      <c r="X80" s="65"/>
      <c r="Y80" s="65"/>
      <c r="Z80" s="65"/>
      <c r="AA80" s="65"/>
      <c r="AB80" s="69">
        <f t="shared" si="8"/>
        <v>0</v>
      </c>
      <c r="AC80" s="70">
        <f t="shared" si="9"/>
        <v>0</v>
      </c>
    </row>
    <row r="81" spans="1:29" ht="26.25">
      <c r="A81" s="78">
        <v>75</v>
      </c>
      <c r="B81" s="160" t="str">
        <f>DATA!A76</f>
        <v>Viết Lông Dầu Artline 90 (đen)</v>
      </c>
      <c r="C81" s="83" t="str">
        <f>DATA!B76</f>
        <v>cây</v>
      </c>
      <c r="D81" s="84">
        <f>DATA!C76</f>
        <v>18500</v>
      </c>
      <c r="E81" s="65"/>
      <c r="F81" s="65"/>
      <c r="G81" s="65"/>
      <c r="H81" s="65"/>
      <c r="I81" s="65">
        <v>2</v>
      </c>
      <c r="J81" s="65"/>
      <c r="K81" s="65"/>
      <c r="L81" s="66">
        <f t="shared" si="5"/>
        <v>2</v>
      </c>
      <c r="M81" s="65"/>
      <c r="N81" s="65"/>
      <c r="O81" s="65"/>
      <c r="P81" s="67">
        <f t="shared" si="6"/>
        <v>0</v>
      </c>
      <c r="Q81" s="65"/>
      <c r="R81" s="65"/>
      <c r="S81" s="65"/>
      <c r="T81" s="65"/>
      <c r="U81" s="68">
        <f t="shared" si="7"/>
        <v>0</v>
      </c>
      <c r="V81" s="65"/>
      <c r="W81" s="65"/>
      <c r="X81" s="65"/>
      <c r="Y81" s="65"/>
      <c r="Z81" s="65"/>
      <c r="AA81" s="65"/>
      <c r="AB81" s="69">
        <f t="shared" si="8"/>
        <v>0</v>
      </c>
      <c r="AC81" s="70">
        <f t="shared" si="9"/>
        <v>2</v>
      </c>
    </row>
    <row r="82" spans="1:29" ht="26.25">
      <c r="A82" s="80">
        <v>76</v>
      </c>
      <c r="B82" s="160" t="str">
        <f>DATA!A77</f>
        <v>Viết Lông Dầu Artline 90 (đỏ)</v>
      </c>
      <c r="C82" s="83" t="str">
        <f>DATA!B77</f>
        <v>cây</v>
      </c>
      <c r="D82" s="84">
        <f>DATA!C77</f>
        <v>18500</v>
      </c>
      <c r="E82" s="65"/>
      <c r="F82" s="65"/>
      <c r="G82" s="65"/>
      <c r="H82" s="65"/>
      <c r="I82" s="65"/>
      <c r="J82" s="65"/>
      <c r="K82" s="65"/>
      <c r="L82" s="66">
        <f t="shared" si="5"/>
        <v>0</v>
      </c>
      <c r="M82" s="65"/>
      <c r="N82" s="65"/>
      <c r="O82" s="65"/>
      <c r="P82" s="67">
        <f t="shared" si="6"/>
        <v>0</v>
      </c>
      <c r="Q82" s="65"/>
      <c r="R82" s="65"/>
      <c r="S82" s="65"/>
      <c r="T82" s="65"/>
      <c r="U82" s="68">
        <f t="shared" si="7"/>
        <v>0</v>
      </c>
      <c r="V82" s="65"/>
      <c r="W82" s="65"/>
      <c r="X82" s="65"/>
      <c r="Y82" s="65"/>
      <c r="Z82" s="65"/>
      <c r="AA82" s="65"/>
      <c r="AB82" s="69">
        <f t="shared" si="8"/>
        <v>0</v>
      </c>
      <c r="AC82" s="70">
        <f t="shared" si="9"/>
        <v>0</v>
      </c>
    </row>
    <row r="83" spans="1:29" ht="26.25">
      <c r="A83" s="78">
        <v>77</v>
      </c>
      <c r="B83" s="160" t="str">
        <f>DATA!A78</f>
        <v>Viết Bic Thiên Long 027 (đỏ)</v>
      </c>
      <c r="C83" s="83" t="str">
        <f>DATA!B78</f>
        <v>cây</v>
      </c>
      <c r="D83" s="84">
        <f>DATA!C78</f>
        <v>1900</v>
      </c>
      <c r="E83" s="65"/>
      <c r="F83" s="65"/>
      <c r="G83" s="65"/>
      <c r="H83" s="65"/>
      <c r="I83" s="65"/>
      <c r="J83" s="65"/>
      <c r="K83" s="65"/>
      <c r="L83" s="66">
        <f t="shared" si="5"/>
        <v>0</v>
      </c>
      <c r="M83" s="65"/>
      <c r="N83" s="65"/>
      <c r="O83" s="65"/>
      <c r="P83" s="67">
        <f t="shared" si="6"/>
        <v>0</v>
      </c>
      <c r="Q83" s="65"/>
      <c r="R83" s="65"/>
      <c r="S83" s="65"/>
      <c r="T83" s="65"/>
      <c r="U83" s="68">
        <f t="shared" si="7"/>
        <v>0</v>
      </c>
      <c r="V83" s="65"/>
      <c r="W83" s="65"/>
      <c r="X83" s="65"/>
      <c r="Y83" s="65"/>
      <c r="Z83" s="65"/>
      <c r="AA83" s="65"/>
      <c r="AB83" s="69">
        <f t="shared" si="8"/>
        <v>0</v>
      </c>
      <c r="AC83" s="70">
        <f t="shared" si="9"/>
        <v>0</v>
      </c>
    </row>
    <row r="84" spans="1:29" ht="26.25">
      <c r="A84" s="80">
        <v>78</v>
      </c>
      <c r="B84" s="160" t="str">
        <f>DATA!A79</f>
        <v>Viết Bic Thiên Long 027 (xanh)</v>
      </c>
      <c r="C84" s="83" t="str">
        <f>DATA!B79</f>
        <v>cây</v>
      </c>
      <c r="D84" s="84">
        <f>DATA!C79</f>
        <v>1900</v>
      </c>
      <c r="E84" s="65"/>
      <c r="F84" s="65"/>
      <c r="G84" s="65"/>
      <c r="H84" s="65"/>
      <c r="I84" s="65"/>
      <c r="J84" s="65"/>
      <c r="K84" s="65"/>
      <c r="L84" s="66">
        <f t="shared" si="5"/>
        <v>0</v>
      </c>
      <c r="M84" s="65"/>
      <c r="N84" s="65"/>
      <c r="O84" s="65"/>
      <c r="P84" s="67">
        <f t="shared" si="6"/>
        <v>0</v>
      </c>
      <c r="Q84" s="65"/>
      <c r="R84" s="65"/>
      <c r="S84" s="65"/>
      <c r="T84" s="65"/>
      <c r="U84" s="68">
        <f t="shared" si="7"/>
        <v>0</v>
      </c>
      <c r="V84" s="65"/>
      <c r="W84" s="65"/>
      <c r="X84" s="65"/>
      <c r="Y84" s="65"/>
      <c r="Z84" s="65"/>
      <c r="AA84" s="65"/>
      <c r="AB84" s="69">
        <f t="shared" si="8"/>
        <v>0</v>
      </c>
      <c r="AC84" s="70">
        <f t="shared" si="9"/>
        <v>0</v>
      </c>
    </row>
    <row r="85" spans="1:29" ht="26.25">
      <c r="A85" s="78">
        <v>79</v>
      </c>
      <c r="B85" s="160" t="str">
        <f>DATA!A80</f>
        <v>Viết Chì 2B Thiên Long</v>
      </c>
      <c r="C85" s="83" t="str">
        <f>DATA!B80</f>
        <v>cây</v>
      </c>
      <c r="D85" s="84">
        <f>DATA!C80</f>
        <v>3400</v>
      </c>
      <c r="E85" s="65"/>
      <c r="F85" s="65"/>
      <c r="G85" s="65"/>
      <c r="H85" s="65"/>
      <c r="I85" s="65"/>
      <c r="J85" s="65"/>
      <c r="K85" s="65"/>
      <c r="L85" s="66">
        <f t="shared" si="5"/>
        <v>0</v>
      </c>
      <c r="M85" s="117"/>
      <c r="N85" s="117"/>
      <c r="O85" s="117"/>
      <c r="P85" s="67">
        <f t="shared" si="6"/>
        <v>0</v>
      </c>
      <c r="Q85" s="117"/>
      <c r="R85" s="117"/>
      <c r="S85" s="117"/>
      <c r="T85" s="117"/>
      <c r="U85" s="68">
        <f t="shared" si="7"/>
        <v>0</v>
      </c>
      <c r="V85" s="65"/>
      <c r="W85" s="65"/>
      <c r="X85" s="65"/>
      <c r="Y85" s="65"/>
      <c r="Z85" s="65"/>
      <c r="AA85" s="65"/>
      <c r="AB85" s="69">
        <f t="shared" si="8"/>
        <v>0</v>
      </c>
      <c r="AC85" s="70">
        <f t="shared" si="9"/>
        <v>0</v>
      </c>
    </row>
    <row r="86" spans="1:29" ht="26.25">
      <c r="A86" s="80">
        <v>80</v>
      </c>
      <c r="B86" s="160" t="str">
        <f>DATA!A81</f>
        <v>Viết Chì Kim 0.5</v>
      </c>
      <c r="C86" s="83" t="str">
        <f>DATA!B81</f>
        <v>cây</v>
      </c>
      <c r="D86" s="84">
        <f>DATA!C81</f>
        <v>18500</v>
      </c>
      <c r="E86" s="65"/>
      <c r="F86" s="65"/>
      <c r="G86" s="65"/>
      <c r="H86" s="65"/>
      <c r="I86" s="65"/>
      <c r="J86" s="65"/>
      <c r="K86" s="65"/>
      <c r="L86" s="66">
        <f t="shared" si="5"/>
        <v>0</v>
      </c>
      <c r="M86" s="117"/>
      <c r="N86" s="117"/>
      <c r="O86" s="117"/>
      <c r="P86" s="67">
        <f t="shared" si="6"/>
        <v>0</v>
      </c>
      <c r="Q86" s="117"/>
      <c r="R86" s="117"/>
      <c r="S86" s="117"/>
      <c r="T86" s="117"/>
      <c r="U86" s="68">
        <f t="shared" si="7"/>
        <v>0</v>
      </c>
      <c r="V86" s="65"/>
      <c r="W86" s="65"/>
      <c r="X86" s="65"/>
      <c r="Y86" s="65"/>
      <c r="Z86" s="65"/>
      <c r="AA86" s="65"/>
      <c r="AB86" s="69">
        <f t="shared" si="8"/>
        <v>0</v>
      </c>
      <c r="AC86" s="70">
        <f t="shared" si="9"/>
        <v>0</v>
      </c>
    </row>
    <row r="87" spans="1:29" ht="26.25">
      <c r="A87" s="78">
        <v>81</v>
      </c>
      <c r="B87" s="160" t="str">
        <f>DATA!A82</f>
        <v>Viết Chì Kim 0.7</v>
      </c>
      <c r="C87" s="83" t="str">
        <f>DATA!B82</f>
        <v>cây</v>
      </c>
      <c r="D87" s="84">
        <f>DATA!C82</f>
        <v>18500</v>
      </c>
      <c r="E87" s="65"/>
      <c r="F87" s="65"/>
      <c r="G87" s="65"/>
      <c r="H87" s="65"/>
      <c r="I87" s="65"/>
      <c r="J87" s="65"/>
      <c r="K87" s="65"/>
      <c r="L87" s="66">
        <f t="shared" si="5"/>
        <v>0</v>
      </c>
      <c r="M87" s="117"/>
      <c r="N87" s="117"/>
      <c r="O87" s="117"/>
      <c r="P87" s="67">
        <f t="shared" si="6"/>
        <v>0</v>
      </c>
      <c r="Q87" s="117"/>
      <c r="R87" s="117"/>
      <c r="S87" s="117"/>
      <c r="T87" s="117"/>
      <c r="U87" s="68">
        <f t="shared" si="7"/>
        <v>0</v>
      </c>
      <c r="V87" s="117"/>
      <c r="W87" s="117"/>
      <c r="X87" s="117"/>
      <c r="Y87" s="117"/>
      <c r="Z87" s="117"/>
      <c r="AA87" s="117"/>
      <c r="AB87" s="69">
        <f t="shared" si="8"/>
        <v>0</v>
      </c>
      <c r="AC87" s="70">
        <f t="shared" si="9"/>
        <v>0</v>
      </c>
    </row>
    <row r="88" spans="1:29" ht="26.25">
      <c r="A88" s="80">
        <v>82</v>
      </c>
      <c r="B88" s="160" t="str">
        <f>DATA!A83</f>
        <v>Viết dạ quang hồng</v>
      </c>
      <c r="C88" s="83" t="str">
        <f>DATA!B83</f>
        <v>Cây</v>
      </c>
      <c r="D88" s="84">
        <f>DATA!C83</f>
        <v>5000</v>
      </c>
      <c r="E88" s="65"/>
      <c r="F88" s="65"/>
      <c r="G88" s="65"/>
      <c r="H88" s="65"/>
      <c r="I88" s="65"/>
      <c r="J88" s="65"/>
      <c r="K88" s="65"/>
      <c r="L88" s="66">
        <f t="shared" si="5"/>
        <v>0</v>
      </c>
      <c r="M88" s="117"/>
      <c r="N88" s="117"/>
      <c r="O88" s="117"/>
      <c r="P88" s="67">
        <f t="shared" si="6"/>
        <v>0</v>
      </c>
      <c r="Q88" s="117"/>
      <c r="R88" s="117"/>
      <c r="S88" s="117"/>
      <c r="T88" s="117"/>
      <c r="U88" s="68">
        <f t="shared" si="7"/>
        <v>0</v>
      </c>
      <c r="V88" s="117"/>
      <c r="W88" s="117"/>
      <c r="X88" s="117"/>
      <c r="Y88" s="117"/>
      <c r="Z88" s="117"/>
      <c r="AA88" s="117"/>
      <c r="AB88" s="69">
        <f t="shared" si="8"/>
        <v>0</v>
      </c>
      <c r="AC88" s="70">
        <f t="shared" si="9"/>
        <v>0</v>
      </c>
    </row>
    <row r="89" spans="1:29" ht="26.25">
      <c r="A89" s="78">
        <v>83</v>
      </c>
      <c r="B89" s="160" t="str">
        <f>DATA!A84</f>
        <v>Viết dạ quang vàng</v>
      </c>
      <c r="C89" s="83" t="str">
        <f>DATA!B84</f>
        <v>Cây</v>
      </c>
      <c r="D89" s="84">
        <f>DATA!C84</f>
        <v>5000</v>
      </c>
      <c r="E89" s="65"/>
      <c r="F89" s="65"/>
      <c r="G89" s="65"/>
      <c r="H89" s="65"/>
      <c r="I89" s="65"/>
      <c r="J89" s="65"/>
      <c r="K89" s="65"/>
      <c r="L89" s="66">
        <f t="shared" si="5"/>
        <v>0</v>
      </c>
      <c r="M89" s="117"/>
      <c r="N89" s="117"/>
      <c r="O89" s="117"/>
      <c r="P89" s="67">
        <f t="shared" si="6"/>
        <v>0</v>
      </c>
      <c r="Q89" s="117"/>
      <c r="R89" s="117"/>
      <c r="S89" s="117"/>
      <c r="T89" s="117"/>
      <c r="U89" s="68">
        <f t="shared" si="7"/>
        <v>0</v>
      </c>
      <c r="V89" s="117"/>
      <c r="W89" s="117"/>
      <c r="X89" s="117"/>
      <c r="Y89" s="117"/>
      <c r="Z89" s="117"/>
      <c r="AA89" s="117"/>
      <c r="AB89" s="69">
        <f t="shared" si="8"/>
        <v>0</v>
      </c>
      <c r="AC89" s="70">
        <f t="shared" si="9"/>
        <v>0</v>
      </c>
    </row>
    <row r="90" spans="1:29" ht="26.25">
      <c r="A90" s="80">
        <v>84</v>
      </c>
      <c r="B90" s="160" t="str">
        <f>DATA!A85</f>
        <v>Viết dây để bàn đôi Bến nghé</v>
      </c>
      <c r="C90" s="83" t="str">
        <f>DATA!B85</f>
        <v>bộ</v>
      </c>
      <c r="D90" s="84">
        <f>DATA!C85</f>
        <v>11000</v>
      </c>
      <c r="E90" s="65"/>
      <c r="F90" s="65"/>
      <c r="G90" s="65"/>
      <c r="H90" s="65"/>
      <c r="I90" s="65"/>
      <c r="J90" s="65"/>
      <c r="K90" s="65"/>
      <c r="L90" s="66">
        <f t="shared" si="5"/>
        <v>0</v>
      </c>
      <c r="M90" s="117"/>
      <c r="N90" s="117"/>
      <c r="O90" s="117"/>
      <c r="P90" s="67">
        <f t="shared" si="6"/>
        <v>0</v>
      </c>
      <c r="Q90" s="117"/>
      <c r="R90" s="117"/>
      <c r="S90" s="117"/>
      <c r="T90" s="117"/>
      <c r="U90" s="68">
        <f t="shared" si="7"/>
        <v>0</v>
      </c>
      <c r="V90" s="117"/>
      <c r="W90" s="117"/>
      <c r="X90" s="117"/>
      <c r="Y90" s="117"/>
      <c r="Z90" s="117"/>
      <c r="AA90" s="117"/>
      <c r="AB90" s="69">
        <f t="shared" si="8"/>
        <v>0</v>
      </c>
      <c r="AC90" s="70">
        <f t="shared" si="9"/>
        <v>0</v>
      </c>
    </row>
    <row r="91" spans="1:29" ht="26.25">
      <c r="A91" s="78">
        <v>85</v>
      </c>
      <c r="B91" s="160" t="str">
        <f>DATA!A86</f>
        <v>Viết dây để bàn đơn Bến nghé</v>
      </c>
      <c r="C91" s="83" t="str">
        <f>DATA!B86</f>
        <v>hộp</v>
      </c>
      <c r="D91" s="84">
        <f>DATA!C86</f>
        <v>7000</v>
      </c>
      <c r="E91" s="65"/>
      <c r="F91" s="65"/>
      <c r="G91" s="65"/>
      <c r="H91" s="65"/>
      <c r="I91" s="65"/>
      <c r="J91" s="65"/>
      <c r="K91" s="65"/>
      <c r="L91" s="66">
        <f t="shared" si="5"/>
        <v>0</v>
      </c>
      <c r="M91" s="117"/>
      <c r="N91" s="117"/>
      <c r="O91" s="117"/>
      <c r="P91" s="67">
        <f t="shared" si="6"/>
        <v>0</v>
      </c>
      <c r="Q91" s="117"/>
      <c r="R91" s="117"/>
      <c r="S91" s="117"/>
      <c r="T91" s="117"/>
      <c r="U91" s="68">
        <f t="shared" si="7"/>
        <v>0</v>
      </c>
      <c r="V91" s="117"/>
      <c r="W91" s="117"/>
      <c r="X91" s="117"/>
      <c r="Y91" s="117"/>
      <c r="Z91" s="117"/>
      <c r="AA91" s="117"/>
      <c r="AB91" s="69">
        <f t="shared" si="8"/>
        <v>0</v>
      </c>
      <c r="AC91" s="70">
        <f t="shared" si="9"/>
        <v>0</v>
      </c>
    </row>
    <row r="92" spans="1:29" ht="26.25">
      <c r="A92" s="80">
        <v>86</v>
      </c>
      <c r="B92" s="160" t="str">
        <f>DATA!A87</f>
        <v>Viết dây để bàn đơn Bến nghé</v>
      </c>
      <c r="C92" s="83" t="str">
        <f>DATA!B87</f>
        <v>hộp</v>
      </c>
      <c r="D92" s="84">
        <f>DATA!C87</f>
        <v>9500</v>
      </c>
      <c r="E92" s="65"/>
      <c r="F92" s="65"/>
      <c r="G92" s="65"/>
      <c r="H92" s="65"/>
      <c r="I92" s="65"/>
      <c r="J92" s="65"/>
      <c r="K92" s="65"/>
      <c r="L92" s="66">
        <f t="shared" si="5"/>
        <v>0</v>
      </c>
      <c r="M92" s="117"/>
      <c r="N92" s="117"/>
      <c r="O92" s="117"/>
      <c r="P92" s="67">
        <f t="shared" si="6"/>
        <v>0</v>
      </c>
      <c r="Q92" s="117"/>
      <c r="R92" s="117"/>
      <c r="S92" s="117"/>
      <c r="T92" s="117"/>
      <c r="U92" s="68">
        <f t="shared" si="7"/>
        <v>0</v>
      </c>
      <c r="V92" s="117"/>
      <c r="W92" s="117"/>
      <c r="X92" s="117"/>
      <c r="Y92" s="117"/>
      <c r="Z92" s="117"/>
      <c r="AA92" s="117"/>
      <c r="AB92" s="69">
        <f t="shared" si="8"/>
        <v>0</v>
      </c>
      <c r="AC92" s="70">
        <f t="shared" si="9"/>
        <v>0</v>
      </c>
    </row>
    <row r="93" spans="1:29" ht="26.25">
      <c r="A93" s="78">
        <v>87</v>
      </c>
      <c r="B93" s="160" t="str">
        <f>DATA!A88</f>
        <v>Viết dây để bàn đơn Bến nghé</v>
      </c>
      <c r="C93" s="83" t="str">
        <f>DATA!B88</f>
        <v>hộp</v>
      </c>
      <c r="D93" s="84">
        <f>DATA!C88</f>
        <v>9500</v>
      </c>
      <c r="E93" s="65"/>
      <c r="F93" s="65"/>
      <c r="G93" s="65"/>
      <c r="H93" s="65"/>
      <c r="I93" s="65"/>
      <c r="J93" s="65"/>
      <c r="K93" s="65"/>
      <c r="L93" s="66">
        <f t="shared" si="5"/>
        <v>0</v>
      </c>
      <c r="M93" s="117"/>
      <c r="N93" s="117"/>
      <c r="O93" s="117"/>
      <c r="P93" s="67">
        <f t="shared" si="6"/>
        <v>0</v>
      </c>
      <c r="Q93" s="117"/>
      <c r="R93" s="117"/>
      <c r="S93" s="117"/>
      <c r="T93" s="117"/>
      <c r="U93" s="68">
        <f t="shared" si="7"/>
        <v>0</v>
      </c>
      <c r="V93" s="117"/>
      <c r="W93" s="117"/>
      <c r="X93" s="117"/>
      <c r="Y93" s="117"/>
      <c r="Z93" s="117"/>
      <c r="AA93" s="117"/>
      <c r="AB93" s="69">
        <f t="shared" si="8"/>
        <v>0</v>
      </c>
      <c r="AC93" s="70">
        <f t="shared" si="9"/>
        <v>0</v>
      </c>
    </row>
    <row r="94" spans="1:29" ht="26.25">
      <c r="A94" s="50">
        <v>88</v>
      </c>
      <c r="B94" s="160" t="str">
        <f>DATA!A89</f>
        <v>Viết để bàn Thiên Long</v>
      </c>
      <c r="C94" s="83" t="str">
        <f>DATA!B89</f>
        <v>cây</v>
      </c>
      <c r="D94" s="84">
        <f>DATA!C89</f>
        <v>9500</v>
      </c>
      <c r="E94" s="65"/>
      <c r="F94" s="65"/>
      <c r="G94" s="65"/>
      <c r="H94" s="65"/>
      <c r="I94" s="65"/>
      <c r="J94" s="65"/>
      <c r="K94" s="65"/>
      <c r="L94" s="66">
        <f t="shared" si="5"/>
        <v>0</v>
      </c>
      <c r="M94" s="117"/>
      <c r="N94" s="117"/>
      <c r="O94" s="117"/>
      <c r="P94" s="67">
        <f t="shared" si="6"/>
        <v>0</v>
      </c>
      <c r="Q94" s="117"/>
      <c r="R94" s="117"/>
      <c r="S94" s="117"/>
      <c r="T94" s="117"/>
      <c r="U94" s="68">
        <f t="shared" si="7"/>
        <v>0</v>
      </c>
      <c r="V94" s="117"/>
      <c r="W94" s="117"/>
      <c r="X94" s="117"/>
      <c r="Y94" s="117"/>
      <c r="Z94" s="117"/>
      <c r="AA94" s="117"/>
      <c r="AB94" s="69">
        <f t="shared" si="8"/>
        <v>0</v>
      </c>
      <c r="AC94" s="70">
        <f t="shared" si="9"/>
        <v>0</v>
      </c>
    </row>
    <row r="95" spans="1:29" ht="26.25">
      <c r="A95" s="78">
        <v>89</v>
      </c>
      <c r="B95" s="160" t="str">
        <f>DATA!A90</f>
        <v>Viết lông bảng Maker đỏ</v>
      </c>
      <c r="C95" s="83" t="str">
        <f>DATA!B90</f>
        <v>Cây</v>
      </c>
      <c r="D95" s="84">
        <f>DATA!C90</f>
        <v>5400</v>
      </c>
      <c r="E95" s="65"/>
      <c r="F95" s="65"/>
      <c r="G95" s="65"/>
      <c r="H95" s="65"/>
      <c r="I95" s="65"/>
      <c r="J95" s="65"/>
      <c r="K95" s="65"/>
      <c r="L95" s="66">
        <f t="shared" si="5"/>
        <v>0</v>
      </c>
      <c r="M95" s="117"/>
      <c r="N95" s="117"/>
      <c r="O95" s="117"/>
      <c r="P95" s="67">
        <f t="shared" si="6"/>
        <v>0</v>
      </c>
      <c r="Q95" s="117"/>
      <c r="R95" s="117"/>
      <c r="S95" s="117"/>
      <c r="T95" s="117"/>
      <c r="U95" s="68">
        <f t="shared" si="7"/>
        <v>0</v>
      </c>
      <c r="V95" s="117"/>
      <c r="W95" s="117"/>
      <c r="X95" s="117"/>
      <c r="Y95" s="117"/>
      <c r="Z95" s="117"/>
      <c r="AA95" s="117"/>
      <c r="AB95" s="69">
        <f t="shared" si="8"/>
        <v>0</v>
      </c>
      <c r="AC95" s="70">
        <f t="shared" si="9"/>
        <v>0</v>
      </c>
    </row>
    <row r="96" spans="1:29" ht="26.25">
      <c r="A96" s="80">
        <v>90</v>
      </c>
      <c r="B96" s="160" t="str">
        <f>DATA!A91</f>
        <v>Viết Lông Dầu Apolo 777 (đỏ)</v>
      </c>
      <c r="C96" s="83" t="str">
        <f>DATA!B91</f>
        <v>cây</v>
      </c>
      <c r="D96" s="84">
        <f>DATA!C91</f>
        <v>4200</v>
      </c>
      <c r="E96" s="65"/>
      <c r="F96" s="65"/>
      <c r="G96" s="65"/>
      <c r="H96" s="65"/>
      <c r="I96" s="65"/>
      <c r="J96" s="65"/>
      <c r="K96" s="65"/>
      <c r="L96" s="66">
        <f t="shared" si="5"/>
        <v>0</v>
      </c>
      <c r="M96" s="117"/>
      <c r="N96" s="117"/>
      <c r="O96" s="117"/>
      <c r="P96" s="67">
        <f t="shared" si="6"/>
        <v>0</v>
      </c>
      <c r="Q96" s="117"/>
      <c r="R96" s="117"/>
      <c r="S96" s="117"/>
      <c r="T96" s="117"/>
      <c r="U96" s="68">
        <f t="shared" si="7"/>
        <v>0</v>
      </c>
      <c r="V96" s="117"/>
      <c r="W96" s="117"/>
      <c r="X96" s="117"/>
      <c r="Y96" s="117"/>
      <c r="Z96" s="117"/>
      <c r="AA96" s="117"/>
      <c r="AB96" s="69">
        <f t="shared" si="8"/>
        <v>0</v>
      </c>
      <c r="AC96" s="70">
        <f t="shared" si="9"/>
        <v>0</v>
      </c>
    </row>
    <row r="97" spans="1:29" ht="26.25">
      <c r="A97" s="78">
        <v>91</v>
      </c>
      <c r="B97" s="160" t="str">
        <f>DATA!A92</f>
        <v>Viết Lông Dầu Apolo Xanh 777</v>
      </c>
      <c r="C97" s="83" t="str">
        <f>DATA!B92</f>
        <v>cây</v>
      </c>
      <c r="D97" s="84">
        <f>DATA!C92</f>
        <v>4200</v>
      </c>
      <c r="E97" s="65"/>
      <c r="F97" s="65"/>
      <c r="G97" s="65"/>
      <c r="H97" s="65"/>
      <c r="I97" s="65"/>
      <c r="J97" s="65"/>
      <c r="K97" s="65"/>
      <c r="L97" s="66">
        <f t="shared" si="5"/>
        <v>0</v>
      </c>
      <c r="M97" s="117"/>
      <c r="N97" s="117"/>
      <c r="O97" s="117"/>
      <c r="P97" s="67">
        <f t="shared" si="6"/>
        <v>0</v>
      </c>
      <c r="Q97" s="117"/>
      <c r="R97" s="117"/>
      <c r="S97" s="117"/>
      <c r="T97" s="117"/>
      <c r="U97" s="68">
        <f t="shared" si="7"/>
        <v>0</v>
      </c>
      <c r="V97" s="117"/>
      <c r="W97" s="117"/>
      <c r="X97" s="117"/>
      <c r="Y97" s="117"/>
      <c r="Z97" s="117"/>
      <c r="AA97" s="117"/>
      <c r="AB97" s="69">
        <f t="shared" si="8"/>
        <v>0</v>
      </c>
      <c r="AC97" s="70">
        <f t="shared" si="9"/>
        <v>0</v>
      </c>
    </row>
    <row r="98" spans="1:29" ht="26.25">
      <c r="A98" s="80">
        <v>92</v>
      </c>
      <c r="B98" s="160" t="str">
        <f>DATA!A93</f>
        <v>Viết Xóa Thiên Long Cp-05</v>
      </c>
      <c r="C98" s="83" t="str">
        <f>DATA!B93</f>
        <v>cây</v>
      </c>
      <c r="D98" s="84">
        <f>DATA!C93</f>
        <v>16000</v>
      </c>
      <c r="E98" s="117"/>
      <c r="F98" s="117"/>
      <c r="G98" s="117"/>
      <c r="H98" s="117"/>
      <c r="I98" s="117"/>
      <c r="J98" s="117"/>
      <c r="K98" s="117"/>
      <c r="L98" s="66">
        <f t="shared" si="5"/>
        <v>0</v>
      </c>
      <c r="M98" s="117"/>
      <c r="N98" s="117"/>
      <c r="O98" s="117"/>
      <c r="P98" s="67">
        <f t="shared" si="6"/>
        <v>0</v>
      </c>
      <c r="Q98" s="117"/>
      <c r="R98" s="117"/>
      <c r="S98" s="117"/>
      <c r="T98" s="117"/>
      <c r="U98" s="68">
        <f t="shared" si="7"/>
        <v>0</v>
      </c>
      <c r="V98" s="117"/>
      <c r="W98" s="117"/>
      <c r="X98" s="117"/>
      <c r="Y98" s="117"/>
      <c r="Z98" s="117"/>
      <c r="AA98" s="117"/>
      <c r="AB98" s="69">
        <f t="shared" si="8"/>
        <v>0</v>
      </c>
      <c r="AC98" s="70">
        <f t="shared" si="9"/>
        <v>0</v>
      </c>
    </row>
    <row r="99" spans="1:29" ht="30">
      <c r="A99" s="78">
        <v>93</v>
      </c>
      <c r="B99" s="160" t="str">
        <f>DATA!A94</f>
        <v>Viết Lông Bảng Xanh Thiên Long</v>
      </c>
      <c r="C99" s="83" t="str">
        <f>DATA!B94</f>
        <v>cây</v>
      </c>
      <c r="D99" s="84">
        <f>DATA!C94</f>
        <v>5200</v>
      </c>
      <c r="E99" s="117"/>
      <c r="F99" s="117"/>
      <c r="G99" s="117"/>
      <c r="H99" s="117"/>
      <c r="I99" s="117"/>
      <c r="J99" s="117"/>
      <c r="K99" s="117"/>
      <c r="L99" s="66">
        <f t="shared" si="5"/>
        <v>0</v>
      </c>
      <c r="M99" s="117"/>
      <c r="N99" s="117"/>
      <c r="O99" s="117"/>
      <c r="P99" s="67">
        <f t="shared" si="6"/>
        <v>0</v>
      </c>
      <c r="Q99" s="117"/>
      <c r="R99" s="117"/>
      <c r="S99" s="117"/>
      <c r="T99" s="117"/>
      <c r="U99" s="68">
        <f t="shared" si="7"/>
        <v>0</v>
      </c>
      <c r="V99" s="117"/>
      <c r="W99" s="117"/>
      <c r="X99" s="117"/>
      <c r="Y99" s="117"/>
      <c r="Z99" s="117"/>
      <c r="AA99" s="117"/>
      <c r="AB99" s="69">
        <f t="shared" si="8"/>
        <v>0</v>
      </c>
      <c r="AC99" s="70">
        <f t="shared" si="9"/>
        <v>0</v>
      </c>
    </row>
    <row r="100" spans="1:29" ht="26.25">
      <c r="A100" s="78">
        <v>94</v>
      </c>
      <c r="B100" s="160" t="str">
        <f>DATA!A95</f>
        <v xml:space="preserve">Nước rửa kính Gift 580ml </v>
      </c>
      <c r="C100" s="83" t="str">
        <f>DATA!B95</f>
        <v>Chai</v>
      </c>
      <c r="D100" s="84">
        <f>DATA!C95</f>
        <v>24000</v>
      </c>
      <c r="E100" s="118"/>
      <c r="F100" s="118"/>
      <c r="G100" s="118"/>
      <c r="H100" s="118"/>
      <c r="I100" s="118"/>
      <c r="J100" s="118"/>
      <c r="K100" s="118"/>
      <c r="L100" s="96">
        <f t="shared" ref="L100:L114" si="10">SUM(E100:K100)</f>
        <v>0</v>
      </c>
      <c r="M100" s="118"/>
      <c r="N100" s="118"/>
      <c r="O100" s="118"/>
      <c r="P100" s="97">
        <f t="shared" ref="P100:P114" si="11">SUM(M100:O100)</f>
        <v>0</v>
      </c>
      <c r="Q100" s="118"/>
      <c r="R100" s="118"/>
      <c r="S100" s="118"/>
      <c r="T100" s="118"/>
      <c r="U100" s="98">
        <f t="shared" ref="U100:U114" si="12">SUM(Q100:T100)</f>
        <v>0</v>
      </c>
      <c r="V100" s="118"/>
      <c r="W100" s="118"/>
      <c r="X100" s="118"/>
      <c r="Y100" s="118"/>
      <c r="Z100" s="118"/>
      <c r="AA100" s="118"/>
      <c r="AB100" s="99">
        <f t="shared" ref="AB100" si="13">SUM(V100:AA100)</f>
        <v>0</v>
      </c>
      <c r="AC100" s="100">
        <f t="shared" ref="AC100" si="14">L100+P100+U100+AB100</f>
        <v>0</v>
      </c>
    </row>
    <row r="101" spans="1:29" ht="26.25">
      <c r="A101" s="78">
        <v>95</v>
      </c>
      <c r="B101" s="160" t="str">
        <f>DATA!A96</f>
        <v>Keo 502</v>
      </c>
      <c r="C101" s="83" t="str">
        <f>DATA!B96</f>
        <v>hộp</v>
      </c>
      <c r="D101" s="115">
        <f>DATA!C96</f>
        <v>3500</v>
      </c>
      <c r="E101" s="118"/>
      <c r="F101" s="119"/>
      <c r="G101" s="119"/>
      <c r="H101" s="119"/>
      <c r="I101" s="119"/>
      <c r="J101" s="118"/>
      <c r="K101" s="119"/>
      <c r="L101" s="96">
        <f t="shared" si="10"/>
        <v>0</v>
      </c>
      <c r="M101" s="119"/>
      <c r="N101" s="119"/>
      <c r="O101" s="119"/>
      <c r="P101" s="97">
        <f t="shared" si="11"/>
        <v>0</v>
      </c>
      <c r="Q101" s="119"/>
      <c r="R101" s="119"/>
      <c r="S101" s="119"/>
      <c r="T101" s="119"/>
      <c r="U101" s="98">
        <f t="shared" si="12"/>
        <v>0</v>
      </c>
      <c r="V101" s="119"/>
      <c r="W101" s="119"/>
      <c r="X101" s="119"/>
      <c r="Y101" s="119"/>
      <c r="Z101" s="119"/>
      <c r="AA101" s="119"/>
      <c r="AB101" s="99">
        <f t="shared" ref="AB101" si="15">SUM(V101:AA101)</f>
        <v>0</v>
      </c>
      <c r="AC101" s="100">
        <f t="shared" ref="AC101" si="16">L101+P101+U101+AB101</f>
        <v>0</v>
      </c>
    </row>
    <row r="102" spans="1:29" ht="26.25">
      <c r="A102" s="78">
        <v>96</v>
      </c>
      <c r="B102" s="160" t="str">
        <f>DATA!A97</f>
        <v>Kẹp Bướm 19Mm</v>
      </c>
      <c r="C102" s="83" t="str">
        <f>DATA!B97</f>
        <v>hộp</v>
      </c>
      <c r="D102" s="132">
        <f>DATA!C97</f>
        <v>3400</v>
      </c>
      <c r="E102" s="120"/>
      <c r="F102" s="120"/>
      <c r="G102" s="120"/>
      <c r="H102" s="120"/>
      <c r="I102" s="120"/>
      <c r="J102" s="120"/>
      <c r="K102" s="120"/>
      <c r="L102" s="96">
        <f t="shared" si="10"/>
        <v>0</v>
      </c>
      <c r="M102" s="120"/>
      <c r="N102" s="120"/>
      <c r="O102" s="120"/>
      <c r="P102" s="97">
        <f t="shared" si="11"/>
        <v>0</v>
      </c>
      <c r="Q102" s="120"/>
      <c r="R102" s="120"/>
      <c r="S102" s="120"/>
      <c r="T102" s="120"/>
      <c r="U102" s="98">
        <f t="shared" si="12"/>
        <v>0</v>
      </c>
      <c r="V102" s="120"/>
      <c r="W102" s="120"/>
      <c r="X102" s="120"/>
      <c r="Y102" s="120"/>
      <c r="Z102" s="120"/>
      <c r="AA102" s="120"/>
      <c r="AB102" s="99">
        <f t="shared" ref="AB102:AB112" si="17">SUM(V102:AA102)</f>
        <v>0</v>
      </c>
      <c r="AC102" s="100">
        <f t="shared" ref="AC102:AC112" si="18">L102+P102+U102+AB102</f>
        <v>0</v>
      </c>
    </row>
    <row r="103" spans="1:29" ht="26.25">
      <c r="A103" s="78">
        <v>97</v>
      </c>
      <c r="B103" s="160" t="str">
        <f>DATA!A98</f>
        <v>Kẹp Bướm 25Mm</v>
      </c>
      <c r="C103" s="83" t="str">
        <f>DATA!B98</f>
        <v>hộp</v>
      </c>
      <c r="D103" s="132">
        <f>DATA!C98</f>
        <v>5500</v>
      </c>
      <c r="E103" s="120"/>
      <c r="F103" s="120"/>
      <c r="G103" s="120"/>
      <c r="H103" s="120"/>
      <c r="I103" s="120"/>
      <c r="J103" s="120"/>
      <c r="K103" s="120"/>
      <c r="L103" s="96">
        <f t="shared" si="10"/>
        <v>0</v>
      </c>
      <c r="M103" s="120"/>
      <c r="N103" s="120"/>
      <c r="O103" s="120"/>
      <c r="P103" s="97">
        <f t="shared" si="11"/>
        <v>0</v>
      </c>
      <c r="Q103" s="120"/>
      <c r="R103" s="120"/>
      <c r="S103" s="120"/>
      <c r="T103" s="120"/>
      <c r="U103" s="98">
        <f t="shared" si="12"/>
        <v>0</v>
      </c>
      <c r="V103" s="120"/>
      <c r="W103" s="120"/>
      <c r="X103" s="120"/>
      <c r="Y103" s="120"/>
      <c r="Z103" s="120"/>
      <c r="AA103" s="120"/>
      <c r="AB103" s="99">
        <f t="shared" si="17"/>
        <v>0</v>
      </c>
      <c r="AC103" s="100">
        <f t="shared" si="18"/>
        <v>0</v>
      </c>
    </row>
    <row r="104" spans="1:29" ht="26.25">
      <c r="A104" s="78">
        <v>98</v>
      </c>
      <c r="B104" s="160" t="str">
        <f>DATA!A99</f>
        <v>Kẹp Bướm 32Mm</v>
      </c>
      <c r="C104" s="83" t="str">
        <f>DATA!B99</f>
        <v>hộp</v>
      </c>
      <c r="D104" s="132">
        <f>DATA!C99</f>
        <v>8000</v>
      </c>
      <c r="E104" s="120"/>
      <c r="F104" s="120"/>
      <c r="G104" s="120"/>
      <c r="H104" s="120"/>
      <c r="I104" s="120"/>
      <c r="J104" s="120"/>
      <c r="K104" s="120"/>
      <c r="L104" s="96">
        <f t="shared" si="10"/>
        <v>0</v>
      </c>
      <c r="M104" s="120"/>
      <c r="N104" s="120"/>
      <c r="O104" s="120"/>
      <c r="P104" s="97">
        <f t="shared" si="11"/>
        <v>0</v>
      </c>
      <c r="Q104" s="120"/>
      <c r="R104" s="120"/>
      <c r="S104" s="120"/>
      <c r="T104" s="120"/>
      <c r="U104" s="98">
        <f t="shared" si="12"/>
        <v>0</v>
      </c>
      <c r="V104" s="120"/>
      <c r="W104" s="120"/>
      <c r="X104" s="120"/>
      <c r="Y104" s="120"/>
      <c r="Z104" s="120"/>
      <c r="AA104" s="120"/>
      <c r="AB104" s="99">
        <f t="shared" si="17"/>
        <v>0</v>
      </c>
      <c r="AC104" s="100">
        <f t="shared" si="18"/>
        <v>0</v>
      </c>
    </row>
    <row r="105" spans="1:29" ht="26.25">
      <c r="A105" s="78">
        <v>99</v>
      </c>
      <c r="B105" s="160" t="str">
        <f>DATA!A100</f>
        <v>Kẹp Bướm 41Mm</v>
      </c>
      <c r="C105" s="83" t="str">
        <f>DATA!B100</f>
        <v>hộp</v>
      </c>
      <c r="D105" s="132">
        <f>DATA!C100</f>
        <v>12000</v>
      </c>
      <c r="E105" s="120"/>
      <c r="F105" s="120"/>
      <c r="G105" s="120">
        <v>1</v>
      </c>
      <c r="H105" s="120"/>
      <c r="I105" s="120"/>
      <c r="J105" s="120"/>
      <c r="K105" s="120"/>
      <c r="L105" s="96">
        <f t="shared" si="10"/>
        <v>1</v>
      </c>
      <c r="M105" s="120"/>
      <c r="N105" s="120"/>
      <c r="O105" s="120"/>
      <c r="P105" s="97">
        <f t="shared" si="11"/>
        <v>0</v>
      </c>
      <c r="Q105" s="120"/>
      <c r="R105" s="120"/>
      <c r="S105" s="120"/>
      <c r="T105" s="120"/>
      <c r="U105" s="98">
        <f t="shared" si="12"/>
        <v>0</v>
      </c>
      <c r="V105" s="120"/>
      <c r="W105" s="120"/>
      <c r="X105" s="120"/>
      <c r="Y105" s="120"/>
      <c r="Z105" s="120"/>
      <c r="AA105" s="120"/>
      <c r="AB105" s="99">
        <f t="shared" si="17"/>
        <v>0</v>
      </c>
      <c r="AC105" s="100">
        <f t="shared" si="18"/>
        <v>1</v>
      </c>
    </row>
    <row r="106" spans="1:29" ht="26.25">
      <c r="A106" s="78">
        <v>100</v>
      </c>
      <c r="B106" s="160" t="str">
        <f>DATA!A101</f>
        <v>Kẹp Bướm 51Mm</v>
      </c>
      <c r="C106" s="83" t="str">
        <f>DATA!B101</f>
        <v>hộp</v>
      </c>
      <c r="D106" s="132">
        <f>DATA!C101</f>
        <v>17500</v>
      </c>
      <c r="E106" s="120"/>
      <c r="F106" s="120"/>
      <c r="G106" s="120"/>
      <c r="H106" s="120"/>
      <c r="I106" s="120"/>
      <c r="J106" s="120"/>
      <c r="K106" s="120"/>
      <c r="L106" s="96">
        <f t="shared" si="10"/>
        <v>0</v>
      </c>
      <c r="M106" s="120"/>
      <c r="N106" s="120"/>
      <c r="O106" s="120"/>
      <c r="P106" s="97">
        <f t="shared" si="11"/>
        <v>0</v>
      </c>
      <c r="Q106" s="120"/>
      <c r="R106" s="120"/>
      <c r="S106" s="120"/>
      <c r="T106" s="120"/>
      <c r="U106" s="98">
        <f t="shared" si="12"/>
        <v>0</v>
      </c>
      <c r="V106" s="120"/>
      <c r="W106" s="120"/>
      <c r="X106" s="120"/>
      <c r="Y106" s="120"/>
      <c r="Z106" s="120"/>
      <c r="AA106" s="120"/>
      <c r="AB106" s="99">
        <f t="shared" si="17"/>
        <v>0</v>
      </c>
      <c r="AC106" s="100">
        <f t="shared" si="18"/>
        <v>0</v>
      </c>
    </row>
    <row r="107" spans="1:29" ht="26.25">
      <c r="A107" s="78">
        <v>101</v>
      </c>
      <c r="B107" s="160" t="str">
        <f>DATA!A102</f>
        <v>Ly Nhựa 411 140Ml</v>
      </c>
      <c r="C107" s="83" t="str">
        <f>DATA!B102</f>
        <v>Cái</v>
      </c>
      <c r="D107" s="132">
        <f>DATA!C102</f>
        <v>170</v>
      </c>
      <c r="E107" s="120"/>
      <c r="F107" s="154"/>
      <c r="G107" s="122"/>
      <c r="H107" s="120"/>
      <c r="I107" s="120"/>
      <c r="J107" s="120"/>
      <c r="K107" s="120"/>
      <c r="L107" s="96">
        <f t="shared" si="10"/>
        <v>0</v>
      </c>
      <c r="M107" s="120"/>
      <c r="N107" s="120"/>
      <c r="O107" s="120"/>
      <c r="P107" s="97">
        <f t="shared" si="11"/>
        <v>0</v>
      </c>
      <c r="Q107" s="120"/>
      <c r="R107" s="120"/>
      <c r="S107" s="120"/>
      <c r="T107" s="120"/>
      <c r="U107" s="98">
        <f t="shared" si="12"/>
        <v>0</v>
      </c>
      <c r="V107" s="120"/>
      <c r="W107" s="120"/>
      <c r="X107" s="120"/>
      <c r="Y107" s="120"/>
      <c r="Z107" s="120"/>
      <c r="AA107" s="120"/>
      <c r="AB107" s="99">
        <f t="shared" si="17"/>
        <v>0</v>
      </c>
      <c r="AC107" s="100">
        <f t="shared" si="18"/>
        <v>0</v>
      </c>
    </row>
    <row r="108" spans="1:29" ht="26.25">
      <c r="A108" s="78">
        <v>102</v>
      </c>
      <c r="B108" s="160" t="str">
        <f>DATA!A103</f>
        <v>Chỗi nylon trung</v>
      </c>
      <c r="C108" s="83" t="str">
        <f>DATA!B103</f>
        <v>cây</v>
      </c>
      <c r="D108" s="132">
        <f>DATA!C103</f>
        <v>0</v>
      </c>
      <c r="E108" s="120"/>
      <c r="F108" s="120"/>
      <c r="G108" s="120"/>
      <c r="H108" s="120"/>
      <c r="I108" s="120"/>
      <c r="J108" s="120"/>
      <c r="K108" s="120"/>
      <c r="L108" s="96">
        <f t="shared" si="10"/>
        <v>0</v>
      </c>
      <c r="M108" s="120"/>
      <c r="N108" s="120"/>
      <c r="O108" s="120"/>
      <c r="P108" s="97">
        <f t="shared" si="11"/>
        <v>0</v>
      </c>
      <c r="Q108" s="120"/>
      <c r="R108" s="120"/>
      <c r="S108" s="120"/>
      <c r="T108" s="120"/>
      <c r="U108" s="98">
        <f t="shared" si="12"/>
        <v>0</v>
      </c>
      <c r="V108" s="120"/>
      <c r="W108" s="120"/>
      <c r="X108" s="120"/>
      <c r="Y108" s="120"/>
      <c r="Z108" s="120"/>
      <c r="AA108" s="120"/>
      <c r="AB108" s="99">
        <f t="shared" si="17"/>
        <v>0</v>
      </c>
      <c r="AC108" s="100">
        <f t="shared" si="18"/>
        <v>0</v>
      </c>
    </row>
    <row r="109" spans="1:29" ht="26.25">
      <c r="A109" s="78">
        <v>103</v>
      </c>
      <c r="B109" s="160" t="str">
        <f>DATA!A104</f>
        <v>Bao Thư Cửa Sổ 12X22</v>
      </c>
      <c r="C109" s="83" t="str">
        <f>DATA!B104</f>
        <v>Cái</v>
      </c>
      <c r="D109" s="132">
        <f>DATA!C104</f>
        <v>210</v>
      </c>
      <c r="E109" s="120"/>
      <c r="F109" s="120"/>
      <c r="G109" s="120"/>
      <c r="H109" s="120"/>
      <c r="I109" s="120"/>
      <c r="J109" s="120"/>
      <c r="K109" s="120"/>
      <c r="L109" s="96">
        <f t="shared" si="10"/>
        <v>0</v>
      </c>
      <c r="M109" s="120"/>
      <c r="N109" s="120"/>
      <c r="O109" s="120"/>
      <c r="P109" s="97">
        <f t="shared" si="11"/>
        <v>0</v>
      </c>
      <c r="Q109" s="120"/>
      <c r="R109" s="120"/>
      <c r="S109" s="120"/>
      <c r="T109" s="120"/>
      <c r="U109" s="98">
        <f t="shared" si="12"/>
        <v>0</v>
      </c>
      <c r="V109" s="120"/>
      <c r="W109" s="120"/>
      <c r="X109" s="120"/>
      <c r="Y109" s="120"/>
      <c r="Z109" s="120"/>
      <c r="AA109" s="120"/>
      <c r="AB109" s="99">
        <f t="shared" si="17"/>
        <v>0</v>
      </c>
      <c r="AC109" s="100">
        <f t="shared" si="18"/>
        <v>0</v>
      </c>
    </row>
    <row r="110" spans="1:29" ht="26.25">
      <c r="A110" s="78">
        <v>104</v>
      </c>
      <c r="B110" s="160" t="str">
        <f>DATA!A105</f>
        <v>Bao Thư Trắng 12X22-80G/M2</v>
      </c>
      <c r="C110" s="83" t="str">
        <f>DATA!B105</f>
        <v>Cái</v>
      </c>
      <c r="D110" s="132">
        <f>DATA!C105</f>
        <v>230</v>
      </c>
      <c r="E110" s="120"/>
      <c r="F110" s="120"/>
      <c r="G110" s="120"/>
      <c r="H110" s="120"/>
      <c r="I110" s="120"/>
      <c r="J110" s="120"/>
      <c r="K110" s="120"/>
      <c r="L110" s="96">
        <f t="shared" si="10"/>
        <v>0</v>
      </c>
      <c r="M110" s="120"/>
      <c r="N110" s="120"/>
      <c r="O110" s="120"/>
      <c r="P110" s="97">
        <f t="shared" si="11"/>
        <v>0</v>
      </c>
      <c r="Q110" s="120"/>
      <c r="R110" s="120"/>
      <c r="S110" s="120"/>
      <c r="T110" s="120"/>
      <c r="U110" s="98">
        <f t="shared" si="12"/>
        <v>0</v>
      </c>
      <c r="V110" s="120"/>
      <c r="W110" s="120"/>
      <c r="X110" s="120"/>
      <c r="Y110" s="120"/>
      <c r="Z110" s="120"/>
      <c r="AA110" s="120"/>
      <c r="AB110" s="99">
        <f t="shared" si="17"/>
        <v>0</v>
      </c>
      <c r="AC110" s="100">
        <f t="shared" si="18"/>
        <v>0</v>
      </c>
    </row>
    <row r="111" spans="1:29" ht="26.25">
      <c r="A111" s="78">
        <v>105</v>
      </c>
      <c r="B111" s="160" t="str">
        <f>DATA!A106</f>
        <v>Bao Thư Trắng 25X35-80G/M2</v>
      </c>
      <c r="C111" s="83" t="str">
        <f>DATA!B106</f>
        <v>Cái</v>
      </c>
      <c r="D111" s="132">
        <f>DATA!C106</f>
        <v>750</v>
      </c>
      <c r="E111" s="120"/>
      <c r="F111" s="120"/>
      <c r="G111" s="120"/>
      <c r="H111" s="120"/>
      <c r="I111" s="120"/>
      <c r="J111" s="120"/>
      <c r="K111" s="120"/>
      <c r="L111" s="96">
        <f t="shared" si="10"/>
        <v>0</v>
      </c>
      <c r="M111" s="120"/>
      <c r="N111" s="120"/>
      <c r="O111" s="120"/>
      <c r="P111" s="97">
        <f t="shared" si="11"/>
        <v>0</v>
      </c>
      <c r="Q111" s="120"/>
      <c r="R111" s="120"/>
      <c r="S111" s="120"/>
      <c r="T111" s="120"/>
      <c r="U111" s="98">
        <f t="shared" si="12"/>
        <v>0</v>
      </c>
      <c r="V111" s="120"/>
      <c r="W111" s="120"/>
      <c r="X111" s="120"/>
      <c r="Y111" s="120"/>
      <c r="Z111" s="120"/>
      <c r="AA111" s="120"/>
      <c r="AB111" s="99">
        <f t="shared" si="17"/>
        <v>0</v>
      </c>
      <c r="AC111" s="100">
        <f t="shared" si="18"/>
        <v>0</v>
      </c>
    </row>
    <row r="112" spans="1:29" ht="26.25">
      <c r="A112" s="78">
        <v>106</v>
      </c>
      <c r="B112" s="160" t="str">
        <f>DATA!A107</f>
        <v>Bao Thư Trắng A5</v>
      </c>
      <c r="C112" s="83" t="str">
        <f>DATA!B107</f>
        <v>Cái</v>
      </c>
      <c r="D112" s="132">
        <f>DATA!C107</f>
        <v>450</v>
      </c>
      <c r="E112" s="120"/>
      <c r="F112" s="120"/>
      <c r="G112" s="120"/>
      <c r="H112" s="120"/>
      <c r="I112" s="120"/>
      <c r="J112" s="120"/>
      <c r="K112" s="120"/>
      <c r="L112" s="66">
        <f t="shared" si="10"/>
        <v>0</v>
      </c>
      <c r="M112" s="120"/>
      <c r="N112" s="120"/>
      <c r="O112" s="120"/>
      <c r="P112" s="67">
        <f t="shared" si="11"/>
        <v>0</v>
      </c>
      <c r="Q112" s="120"/>
      <c r="R112" s="120"/>
      <c r="S112" s="120"/>
      <c r="T112" s="120"/>
      <c r="U112" s="68">
        <f t="shared" si="12"/>
        <v>0</v>
      </c>
      <c r="V112" s="120"/>
      <c r="W112" s="120"/>
      <c r="X112" s="120"/>
      <c r="Y112" s="120"/>
      <c r="Z112" s="120"/>
      <c r="AA112" s="120"/>
      <c r="AB112" s="69">
        <f t="shared" si="17"/>
        <v>0</v>
      </c>
      <c r="AC112" s="70">
        <f t="shared" si="18"/>
        <v>0</v>
      </c>
    </row>
    <row r="113" spans="1:29" ht="30">
      <c r="A113" s="137">
        <v>107</v>
      </c>
      <c r="B113" s="160" t="str">
        <f>DATA!A108</f>
        <v>Ly nhựa nhỏ Tân Hiệp Hưng 399</v>
      </c>
      <c r="C113" s="138" t="str">
        <f>DATA!B108</f>
        <v>cái</v>
      </c>
      <c r="D113" s="139">
        <f>DATA!C108</f>
        <v>260</v>
      </c>
      <c r="E113" s="140"/>
      <c r="F113" s="119"/>
      <c r="G113" s="119"/>
      <c r="H113" s="140"/>
      <c r="I113" s="140"/>
      <c r="J113" s="140"/>
      <c r="K113" s="140"/>
      <c r="L113" s="96">
        <f t="shared" si="10"/>
        <v>0</v>
      </c>
      <c r="M113" s="140"/>
      <c r="N113" s="140"/>
      <c r="O113" s="140"/>
      <c r="P113" s="141">
        <f t="shared" si="11"/>
        <v>0</v>
      </c>
      <c r="Q113" s="140"/>
      <c r="R113" s="140"/>
      <c r="S113" s="140"/>
      <c r="T113" s="140"/>
      <c r="U113" s="142">
        <f t="shared" si="12"/>
        <v>0</v>
      </c>
      <c r="V113" s="140"/>
      <c r="W113" s="140"/>
      <c r="X113" s="140"/>
      <c r="Y113" s="140"/>
      <c r="Z113" s="140"/>
      <c r="AA113" s="140"/>
      <c r="AB113" s="127">
        <f t="shared" ref="AB113" si="19">SUM(V113:AA113)</f>
        <v>0</v>
      </c>
      <c r="AC113" s="128">
        <f t="shared" ref="AC113" si="20">L113+P113+U113+AB113</f>
        <v>0</v>
      </c>
    </row>
    <row r="114" spans="1:29" ht="26.25">
      <c r="A114" s="144">
        <v>108</v>
      </c>
      <c r="B114" s="160" t="str">
        <f>DATA!A109</f>
        <v>băng keo 2.5p 100 yard</v>
      </c>
      <c r="C114" s="143" t="str">
        <f>DATA!B109</f>
        <v>cuộn</v>
      </c>
      <c r="D114" s="132">
        <f>DATA!C109</f>
        <v>6200</v>
      </c>
      <c r="E114" s="147"/>
      <c r="F114" s="147"/>
      <c r="G114" s="147"/>
      <c r="H114" s="147"/>
      <c r="I114" s="147"/>
      <c r="J114" s="147"/>
      <c r="K114" s="147"/>
      <c r="L114" s="126">
        <f t="shared" si="10"/>
        <v>0</v>
      </c>
      <c r="M114" s="147">
        <v>10</v>
      </c>
      <c r="N114" s="147"/>
      <c r="O114" s="147">
        <v>15</v>
      </c>
      <c r="P114" s="133">
        <f t="shared" si="11"/>
        <v>25</v>
      </c>
      <c r="Q114" s="147"/>
      <c r="R114" s="147"/>
      <c r="S114" s="147"/>
      <c r="T114" s="147"/>
      <c r="U114" s="134">
        <f t="shared" si="12"/>
        <v>0</v>
      </c>
      <c r="V114" s="147"/>
      <c r="W114" s="147"/>
      <c r="X114" s="147"/>
      <c r="Y114" s="147"/>
      <c r="Z114" s="147"/>
      <c r="AA114" s="147"/>
      <c r="AB114" s="145">
        <f t="shared" ref="AB114" si="21">SUM(V114:AA114)</f>
        <v>0</v>
      </c>
      <c r="AC114" s="146">
        <f t="shared" ref="AC114" si="22">L114+P114+U114+AB114</f>
        <v>25</v>
      </c>
    </row>
    <row r="115" spans="1:29" ht="26.25">
      <c r="A115" s="144">
        <v>109</v>
      </c>
      <c r="B115" s="160" t="str">
        <f>DATA!A110</f>
        <v>Cana đánh bóng 220g</v>
      </c>
      <c r="C115" s="143" t="str">
        <f>DATA!B110</f>
        <v>hộp</v>
      </c>
      <c r="D115" s="132">
        <f>DATA!C110</f>
        <v>48000</v>
      </c>
      <c r="E115" s="147"/>
      <c r="F115" s="147"/>
      <c r="G115" s="147"/>
      <c r="H115" s="147"/>
      <c r="I115" s="147"/>
      <c r="J115" s="147"/>
      <c r="K115" s="147"/>
      <c r="L115" s="126">
        <f t="shared" ref="L115" si="23">SUM(E115:K115)</f>
        <v>0</v>
      </c>
      <c r="M115" s="147"/>
      <c r="N115" s="147"/>
      <c r="O115" s="147"/>
      <c r="P115" s="133">
        <f t="shared" ref="P115" si="24">SUM(M115:O115)</f>
        <v>0</v>
      </c>
      <c r="Q115" s="147"/>
      <c r="R115" s="147"/>
      <c r="S115" s="147"/>
      <c r="T115" s="147"/>
      <c r="U115" s="134">
        <f t="shared" ref="U115" si="25">SUM(Q115:T115)</f>
        <v>0</v>
      </c>
      <c r="V115" s="147"/>
      <c r="W115" s="147"/>
      <c r="X115" s="147"/>
      <c r="Y115" s="147"/>
      <c r="Z115" s="147"/>
      <c r="AA115" s="147"/>
      <c r="AB115" s="145">
        <f t="shared" ref="AB115" si="26">SUM(V115:AA115)</f>
        <v>0</v>
      </c>
      <c r="AC115" s="146">
        <f t="shared" ref="AC115" si="27">L115+P115+U115+AB115</f>
        <v>0</v>
      </c>
    </row>
    <row r="116" spans="1:29" ht="30">
      <c r="A116" s="144">
        <v>110</v>
      </c>
      <c r="B116" s="160" t="str">
        <f>DATA!A111</f>
        <v>Rổ xéo nhựa 1 ngăn - xanh dương</v>
      </c>
      <c r="C116" s="143" t="str">
        <f>DATA!B111</f>
        <v>cái</v>
      </c>
      <c r="D116" s="132">
        <f>DATA!C111</f>
        <v>11200</v>
      </c>
      <c r="E116" s="147"/>
      <c r="F116" s="147"/>
      <c r="G116" s="147"/>
      <c r="H116" s="147"/>
      <c r="I116" s="147"/>
      <c r="J116" s="147"/>
      <c r="K116" s="147"/>
      <c r="L116" s="126">
        <f t="shared" ref="L116:L179" si="28">SUM(E116:K116)</f>
        <v>0</v>
      </c>
      <c r="M116" s="147"/>
      <c r="N116" s="147"/>
      <c r="O116" s="147"/>
      <c r="P116" s="133">
        <f t="shared" ref="P116:P179" si="29">SUM(M116:O116)</f>
        <v>0</v>
      </c>
      <c r="Q116" s="147"/>
      <c r="R116" s="147"/>
      <c r="S116" s="147"/>
      <c r="T116" s="147"/>
      <c r="U116" s="134">
        <f t="shared" ref="U116:U179" si="30">SUM(Q116:T116)</f>
        <v>0</v>
      </c>
      <c r="V116" s="147"/>
      <c r="W116" s="147"/>
      <c r="X116" s="147"/>
      <c r="Y116" s="147"/>
      <c r="Z116" s="147"/>
      <c r="AA116" s="147"/>
      <c r="AB116" s="145">
        <f t="shared" ref="AB116" si="31">SUM(V116:AA116)</f>
        <v>0</v>
      </c>
      <c r="AC116" s="146">
        <f t="shared" ref="AC116" si="32">L116+P116+U116+AB116</f>
        <v>0</v>
      </c>
    </row>
    <row r="117" spans="1:29" ht="26.25">
      <c r="A117" s="144">
        <v>111</v>
      </c>
      <c r="B117" s="160" t="str">
        <f>DATA!A112</f>
        <v>Bút lông dầu Artline EK 100 đen</v>
      </c>
      <c r="C117" s="143" t="str">
        <f>DATA!B112</f>
        <v>cây</v>
      </c>
      <c r="D117" s="132">
        <f>DATA!C112</f>
        <v>41000</v>
      </c>
      <c r="E117" s="147"/>
      <c r="F117" s="147"/>
      <c r="G117" s="147"/>
      <c r="H117" s="147"/>
      <c r="I117" s="147"/>
      <c r="J117" s="147"/>
      <c r="K117" s="147"/>
      <c r="L117" s="126">
        <f t="shared" si="28"/>
        <v>0</v>
      </c>
      <c r="M117" s="147"/>
      <c r="N117" s="147"/>
      <c r="O117" s="147"/>
      <c r="P117" s="133">
        <f t="shared" si="29"/>
        <v>0</v>
      </c>
      <c r="Q117" s="147"/>
      <c r="R117" s="147"/>
      <c r="S117" s="147"/>
      <c r="T117" s="147"/>
      <c r="U117" s="134">
        <f t="shared" si="30"/>
        <v>0</v>
      </c>
      <c r="V117" s="147"/>
      <c r="W117" s="147"/>
      <c r="X117" s="147"/>
      <c r="Y117" s="147"/>
      <c r="Z117" s="147"/>
      <c r="AA117" s="147"/>
      <c r="AB117" s="145">
        <f t="shared" ref="AB117:AB180" si="33">SUM(V117:AA117)</f>
        <v>0</v>
      </c>
      <c r="AC117" s="146">
        <f t="shared" ref="AC117:AC180" si="34">L117+P117+U117+AB117</f>
        <v>0</v>
      </c>
    </row>
    <row r="118" spans="1:29" ht="26.25">
      <c r="A118" s="144">
        <v>112</v>
      </c>
      <c r="B118" s="160" t="str">
        <f>DATA!A113</f>
        <v>Bút lông dầu Artline EK 100 đỏ</v>
      </c>
      <c r="C118" s="143" t="str">
        <f>DATA!B113</f>
        <v>cây</v>
      </c>
      <c r="D118" s="132">
        <f>DATA!C113</f>
        <v>41000</v>
      </c>
      <c r="E118" s="147"/>
      <c r="F118" s="147"/>
      <c r="G118" s="122"/>
      <c r="H118" s="122"/>
      <c r="I118" s="122"/>
      <c r="J118" s="122"/>
      <c r="K118" s="122"/>
      <c r="L118" s="126">
        <f t="shared" si="28"/>
        <v>0</v>
      </c>
      <c r="M118" s="122"/>
      <c r="N118" s="122"/>
      <c r="O118" s="122"/>
      <c r="P118" s="133">
        <f t="shared" si="29"/>
        <v>0</v>
      </c>
      <c r="Q118" s="122"/>
      <c r="R118" s="122"/>
      <c r="S118" s="122"/>
      <c r="T118" s="122"/>
      <c r="U118" s="134">
        <f t="shared" si="30"/>
        <v>0</v>
      </c>
      <c r="V118" s="122"/>
      <c r="W118" s="122"/>
      <c r="X118" s="122"/>
      <c r="Y118" s="122"/>
      <c r="Z118" s="122"/>
      <c r="AA118" s="122"/>
      <c r="AB118" s="145">
        <f t="shared" si="33"/>
        <v>0</v>
      </c>
      <c r="AC118" s="146">
        <f t="shared" si="34"/>
        <v>0</v>
      </c>
    </row>
    <row r="119" spans="1:29" ht="26.25">
      <c r="A119" s="144">
        <v>113</v>
      </c>
      <c r="B119" s="160" t="str">
        <f>DATA!A114</f>
        <v>Giấy gói quà</v>
      </c>
      <c r="C119" s="143" t="str">
        <f>DATA!B114</f>
        <v>tờ</v>
      </c>
      <c r="D119" s="132">
        <f>DATA!C114</f>
        <v>2600</v>
      </c>
      <c r="E119" s="147"/>
      <c r="F119" s="147"/>
      <c r="G119" s="122"/>
      <c r="H119" s="122"/>
      <c r="I119" s="122"/>
      <c r="J119" s="122"/>
      <c r="K119" s="122"/>
      <c r="L119" s="126">
        <f t="shared" si="28"/>
        <v>0</v>
      </c>
      <c r="M119" s="122"/>
      <c r="N119" s="122"/>
      <c r="O119" s="122"/>
      <c r="P119" s="133">
        <f t="shared" si="29"/>
        <v>0</v>
      </c>
      <c r="Q119" s="122"/>
      <c r="R119" s="122"/>
      <c r="S119" s="122"/>
      <c r="T119" s="122"/>
      <c r="U119" s="134">
        <f t="shared" si="30"/>
        <v>0</v>
      </c>
      <c r="V119" s="122"/>
      <c r="W119" s="122"/>
      <c r="X119" s="122"/>
      <c r="Y119" s="122"/>
      <c r="Z119" s="122"/>
      <c r="AA119" s="122"/>
      <c r="AB119" s="145">
        <f t="shared" si="33"/>
        <v>0</v>
      </c>
      <c r="AC119" s="146">
        <f t="shared" si="34"/>
        <v>0</v>
      </c>
    </row>
    <row r="120" spans="1:29" ht="26.25">
      <c r="A120" s="144">
        <v>114</v>
      </c>
      <c r="B120" s="160" t="str">
        <f>DATA!A115</f>
        <v>Dây thun</v>
      </c>
      <c r="C120" s="143" t="str">
        <f>DATA!B115</f>
        <v>bịch</v>
      </c>
      <c r="D120" s="132">
        <f>DATA!C115</f>
        <v>28500</v>
      </c>
      <c r="E120" s="147"/>
      <c r="F120" s="147"/>
      <c r="G120" s="122"/>
      <c r="H120" s="122"/>
      <c r="I120" s="122"/>
      <c r="J120" s="122"/>
      <c r="K120" s="122"/>
      <c r="L120" s="126">
        <f t="shared" si="28"/>
        <v>0</v>
      </c>
      <c r="M120" s="122"/>
      <c r="N120" s="122"/>
      <c r="O120" s="122"/>
      <c r="P120" s="133">
        <f t="shared" si="29"/>
        <v>0</v>
      </c>
      <c r="Q120" s="122"/>
      <c r="R120" s="122"/>
      <c r="S120" s="122"/>
      <c r="T120" s="122"/>
      <c r="U120" s="134">
        <f t="shared" si="30"/>
        <v>0</v>
      </c>
      <c r="V120" s="122"/>
      <c r="W120" s="122"/>
      <c r="X120" s="122"/>
      <c r="Y120" s="122"/>
      <c r="Z120" s="122"/>
      <c r="AA120" s="122"/>
      <c r="AB120" s="145">
        <f t="shared" si="33"/>
        <v>0</v>
      </c>
      <c r="AC120" s="146">
        <f t="shared" si="34"/>
        <v>0</v>
      </c>
    </row>
    <row r="121" spans="1:29" ht="26.25">
      <c r="A121" s="144">
        <v>115</v>
      </c>
      <c r="B121" s="160" t="str">
        <f>DATA!A116</f>
        <v>Khay 2 tầng mica</v>
      </c>
      <c r="C121" s="143" t="str">
        <f>DATA!B116</f>
        <v>bộ</v>
      </c>
      <c r="D121" s="132">
        <f>DATA!C116</f>
        <v>72000</v>
      </c>
      <c r="E121" s="147"/>
      <c r="F121" s="147"/>
      <c r="G121" s="122"/>
      <c r="H121" s="122"/>
      <c r="I121" s="122"/>
      <c r="J121" s="122"/>
      <c r="K121" s="122"/>
      <c r="L121" s="126">
        <f t="shared" si="28"/>
        <v>0</v>
      </c>
      <c r="M121" s="122"/>
      <c r="N121" s="122"/>
      <c r="O121" s="122"/>
      <c r="P121" s="133">
        <f t="shared" si="29"/>
        <v>0</v>
      </c>
      <c r="Q121" s="122"/>
      <c r="R121" s="122"/>
      <c r="S121" s="122"/>
      <c r="T121" s="122"/>
      <c r="U121" s="134">
        <f t="shared" si="30"/>
        <v>0</v>
      </c>
      <c r="V121" s="122"/>
      <c r="W121" s="122"/>
      <c r="X121" s="122"/>
      <c r="Y121" s="122"/>
      <c r="Z121" s="122"/>
      <c r="AA121" s="122"/>
      <c r="AB121" s="145">
        <f t="shared" si="33"/>
        <v>0</v>
      </c>
      <c r="AC121" s="146">
        <f t="shared" si="34"/>
        <v>0</v>
      </c>
    </row>
    <row r="122" spans="1:29" ht="26.25">
      <c r="A122" s="144">
        <v>116</v>
      </c>
      <c r="B122" s="160" t="str">
        <f>DATA!A117</f>
        <v>Khay 3 tầng mica</v>
      </c>
      <c r="C122" s="143" t="str">
        <f>DATA!B117</f>
        <v>bộ</v>
      </c>
      <c r="D122" s="132">
        <f>DATA!C117</f>
        <v>99000</v>
      </c>
      <c r="E122" s="147"/>
      <c r="F122" s="147"/>
      <c r="G122" s="122"/>
      <c r="H122" s="122"/>
      <c r="I122" s="122"/>
      <c r="J122" s="122"/>
      <c r="K122" s="122"/>
      <c r="L122" s="126">
        <f t="shared" si="28"/>
        <v>0</v>
      </c>
      <c r="M122" s="122"/>
      <c r="N122" s="122"/>
      <c r="O122" s="122"/>
      <c r="P122" s="133">
        <f t="shared" si="29"/>
        <v>0</v>
      </c>
      <c r="Q122" s="122"/>
      <c r="R122" s="122"/>
      <c r="S122" s="122"/>
      <c r="T122" s="122"/>
      <c r="U122" s="134">
        <f t="shared" si="30"/>
        <v>0</v>
      </c>
      <c r="V122" s="122"/>
      <c r="W122" s="122"/>
      <c r="X122" s="122"/>
      <c r="Y122" s="122"/>
      <c r="Z122" s="122"/>
      <c r="AA122" s="122"/>
      <c r="AB122" s="145">
        <f t="shared" si="33"/>
        <v>0</v>
      </c>
      <c r="AC122" s="146">
        <f t="shared" si="34"/>
        <v>0</v>
      </c>
    </row>
    <row r="123" spans="1:29" ht="26.25">
      <c r="A123" s="144">
        <v>117</v>
      </c>
      <c r="B123" s="160" t="str">
        <f>DATA!A118</f>
        <v>Nơ rút gói quà loại nhỏ</v>
      </c>
      <c r="C123" s="143" t="str">
        <f>DATA!B118</f>
        <v>cái</v>
      </c>
      <c r="D123" s="132">
        <f>DATA!C118</f>
        <v>2500</v>
      </c>
      <c r="E123" s="147"/>
      <c r="F123" s="147"/>
      <c r="G123" s="122"/>
      <c r="H123" s="122"/>
      <c r="I123" s="122"/>
      <c r="J123" s="122"/>
      <c r="K123" s="122"/>
      <c r="L123" s="126">
        <f t="shared" si="28"/>
        <v>0</v>
      </c>
      <c r="M123" s="122"/>
      <c r="N123" s="122"/>
      <c r="O123" s="122"/>
      <c r="P123" s="133">
        <f t="shared" si="29"/>
        <v>0</v>
      </c>
      <c r="Q123" s="122"/>
      <c r="R123" s="122"/>
      <c r="S123" s="122"/>
      <c r="T123" s="122"/>
      <c r="U123" s="134">
        <f t="shared" si="30"/>
        <v>0</v>
      </c>
      <c r="V123" s="122"/>
      <c r="W123" s="122"/>
      <c r="X123" s="122"/>
      <c r="Y123" s="122"/>
      <c r="Z123" s="122"/>
      <c r="AA123" s="122"/>
      <c r="AB123" s="145">
        <f t="shared" si="33"/>
        <v>0</v>
      </c>
      <c r="AC123" s="146">
        <f t="shared" si="34"/>
        <v>0</v>
      </c>
    </row>
    <row r="124" spans="1:29" ht="26.25">
      <c r="A124" s="144">
        <v>118</v>
      </c>
      <c r="B124" s="160" t="str">
        <f>DATA!A119</f>
        <v>Nơ rút gói quà loại trung</v>
      </c>
      <c r="C124" s="143" t="str">
        <f>DATA!B119</f>
        <v>cái</v>
      </c>
      <c r="D124" s="132">
        <f>DATA!C119</f>
        <v>2000</v>
      </c>
      <c r="E124" s="147"/>
      <c r="F124" s="147"/>
      <c r="G124" s="122"/>
      <c r="H124" s="122"/>
      <c r="I124" s="122"/>
      <c r="J124" s="122"/>
      <c r="K124" s="122"/>
      <c r="L124" s="126">
        <f t="shared" si="28"/>
        <v>0</v>
      </c>
      <c r="M124" s="122"/>
      <c r="N124" s="122"/>
      <c r="O124" s="122"/>
      <c r="P124" s="133">
        <f t="shared" si="29"/>
        <v>0</v>
      </c>
      <c r="Q124" s="122"/>
      <c r="R124" s="122"/>
      <c r="S124" s="122"/>
      <c r="T124" s="122"/>
      <c r="U124" s="134">
        <f t="shared" si="30"/>
        <v>0</v>
      </c>
      <c r="V124" s="122"/>
      <c r="W124" s="122"/>
      <c r="X124" s="122"/>
      <c r="Y124" s="122"/>
      <c r="Z124" s="122"/>
      <c r="AA124" s="122"/>
      <c r="AB124" s="145">
        <f t="shared" si="33"/>
        <v>0</v>
      </c>
      <c r="AC124" s="146">
        <f t="shared" si="34"/>
        <v>0</v>
      </c>
    </row>
    <row r="125" spans="1:29" ht="26.25">
      <c r="A125" s="144">
        <v>119</v>
      </c>
      <c r="B125" s="160" t="str">
        <f>DATA!A120</f>
        <v>Nơ rút gói quà loại lớn</v>
      </c>
      <c r="C125" s="143" t="str">
        <f>DATA!B120</f>
        <v>cái</v>
      </c>
      <c r="D125" s="132">
        <f>DATA!C120</f>
        <v>3500</v>
      </c>
      <c r="E125" s="147"/>
      <c r="F125" s="147"/>
      <c r="G125" s="122"/>
      <c r="H125" s="122"/>
      <c r="I125" s="122"/>
      <c r="J125" s="122"/>
      <c r="K125" s="122"/>
      <c r="L125" s="126">
        <f t="shared" si="28"/>
        <v>0</v>
      </c>
      <c r="M125" s="122"/>
      <c r="N125" s="122"/>
      <c r="O125" s="122"/>
      <c r="P125" s="133">
        <f t="shared" si="29"/>
        <v>0</v>
      </c>
      <c r="Q125" s="122"/>
      <c r="R125" s="122"/>
      <c r="S125" s="122"/>
      <c r="T125" s="122"/>
      <c r="U125" s="134">
        <f t="shared" si="30"/>
        <v>0</v>
      </c>
      <c r="V125" s="122"/>
      <c r="W125" s="122"/>
      <c r="X125" s="122"/>
      <c r="Y125" s="122"/>
      <c r="Z125" s="122"/>
      <c r="AA125" s="122"/>
      <c r="AB125" s="145">
        <f t="shared" si="33"/>
        <v>0</v>
      </c>
      <c r="AC125" s="146">
        <f t="shared" si="34"/>
        <v>0</v>
      </c>
    </row>
    <row r="126" spans="1:29" ht="26.25">
      <c r="A126" s="144">
        <v>120</v>
      </c>
      <c r="B126" s="160" t="str">
        <f>DATA!A121</f>
        <v>Giấy phân trang</v>
      </c>
      <c r="C126" s="143" t="str">
        <f>DATA!B121</f>
        <v>xấp</v>
      </c>
      <c r="D126" s="132">
        <f>DATA!C121</f>
        <v>8000</v>
      </c>
      <c r="E126" s="147"/>
      <c r="F126" s="147"/>
      <c r="G126" s="122"/>
      <c r="H126" s="122"/>
      <c r="I126" s="122"/>
      <c r="J126" s="122"/>
      <c r="K126" s="122"/>
      <c r="L126" s="126">
        <f t="shared" si="28"/>
        <v>0</v>
      </c>
      <c r="M126" s="122"/>
      <c r="N126" s="122"/>
      <c r="O126" s="122"/>
      <c r="P126" s="133">
        <f t="shared" si="29"/>
        <v>0</v>
      </c>
      <c r="Q126" s="122"/>
      <c r="R126" s="122"/>
      <c r="S126" s="122"/>
      <c r="T126" s="122"/>
      <c r="U126" s="134">
        <f t="shared" si="30"/>
        <v>0</v>
      </c>
      <c r="V126" s="122"/>
      <c r="W126" s="122"/>
      <c r="X126" s="122"/>
      <c r="Y126" s="122"/>
      <c r="Z126" s="122"/>
      <c r="AA126" s="122"/>
      <c r="AB126" s="145">
        <f t="shared" si="33"/>
        <v>0</v>
      </c>
      <c r="AC126" s="146">
        <f t="shared" si="34"/>
        <v>0</v>
      </c>
    </row>
    <row r="127" spans="1:29" ht="26.25">
      <c r="A127" s="144">
        <v>121</v>
      </c>
      <c r="B127" s="160" t="str">
        <f>DATA!A122</f>
        <v>Cây ghim giấy</v>
      </c>
      <c r="C127" s="143" t="str">
        <f>DATA!B122</f>
        <v>cây</v>
      </c>
      <c r="D127" s="132">
        <f>DATA!C122</f>
        <v>11000</v>
      </c>
      <c r="E127" s="147"/>
      <c r="F127" s="147"/>
      <c r="G127" s="122"/>
      <c r="H127" s="122"/>
      <c r="I127" s="122"/>
      <c r="J127" s="122"/>
      <c r="K127" s="122"/>
      <c r="L127" s="126">
        <f t="shared" si="28"/>
        <v>0</v>
      </c>
      <c r="M127" s="122"/>
      <c r="N127" s="122"/>
      <c r="O127" s="122"/>
      <c r="P127" s="133">
        <f t="shared" si="29"/>
        <v>0</v>
      </c>
      <c r="Q127" s="122"/>
      <c r="R127" s="122"/>
      <c r="S127" s="122"/>
      <c r="T127" s="122"/>
      <c r="U127" s="134">
        <f t="shared" si="30"/>
        <v>0</v>
      </c>
      <c r="V127" s="122"/>
      <c r="W127" s="122"/>
      <c r="X127" s="122"/>
      <c r="Y127" s="122"/>
      <c r="Z127" s="122"/>
      <c r="AA127" s="122"/>
      <c r="AB127" s="145">
        <f t="shared" si="33"/>
        <v>0</v>
      </c>
      <c r="AC127" s="146">
        <f t="shared" si="34"/>
        <v>0</v>
      </c>
    </row>
    <row r="128" spans="1:29" ht="26.25">
      <c r="A128" s="144">
        <v>122</v>
      </c>
      <c r="B128" s="160">
        <f>DATA!A123</f>
        <v>0</v>
      </c>
      <c r="C128" s="143">
        <f>DATA!B123</f>
        <v>0</v>
      </c>
      <c r="D128" s="132">
        <f>DATA!C123</f>
        <v>0</v>
      </c>
      <c r="E128" s="147"/>
      <c r="F128" s="147"/>
      <c r="G128" s="122"/>
      <c r="H128" s="122"/>
      <c r="I128" s="122"/>
      <c r="J128" s="122"/>
      <c r="K128" s="122"/>
      <c r="L128" s="126">
        <f t="shared" si="28"/>
        <v>0</v>
      </c>
      <c r="M128" s="122"/>
      <c r="N128" s="122"/>
      <c r="O128" s="122"/>
      <c r="P128" s="133">
        <f t="shared" si="29"/>
        <v>0</v>
      </c>
      <c r="Q128" s="122"/>
      <c r="R128" s="122"/>
      <c r="S128" s="122"/>
      <c r="T128" s="122"/>
      <c r="U128" s="134">
        <f t="shared" si="30"/>
        <v>0</v>
      </c>
      <c r="V128" s="122"/>
      <c r="W128" s="122"/>
      <c r="X128" s="122"/>
      <c r="Y128" s="122"/>
      <c r="Z128" s="122"/>
      <c r="AA128" s="122"/>
      <c r="AB128" s="145">
        <f t="shared" si="33"/>
        <v>0</v>
      </c>
      <c r="AC128" s="146">
        <f t="shared" si="34"/>
        <v>0</v>
      </c>
    </row>
    <row r="129" spans="1:29" ht="26.25">
      <c r="A129" s="144">
        <v>123</v>
      </c>
      <c r="B129" s="160">
        <f>DATA!A124</f>
        <v>0</v>
      </c>
      <c r="C129" s="143">
        <f>DATA!B124</f>
        <v>0</v>
      </c>
      <c r="D129" s="132">
        <f>DATA!C124</f>
        <v>0</v>
      </c>
      <c r="E129" s="147"/>
      <c r="F129" s="147"/>
      <c r="G129" s="122"/>
      <c r="H129" s="122"/>
      <c r="I129" s="122"/>
      <c r="J129" s="122"/>
      <c r="K129" s="122"/>
      <c r="L129" s="126">
        <f t="shared" si="28"/>
        <v>0</v>
      </c>
      <c r="M129" s="122"/>
      <c r="N129" s="122"/>
      <c r="O129" s="122"/>
      <c r="P129" s="133">
        <f t="shared" si="29"/>
        <v>0</v>
      </c>
      <c r="Q129" s="122"/>
      <c r="R129" s="122"/>
      <c r="S129" s="122"/>
      <c r="T129" s="122"/>
      <c r="U129" s="134">
        <f t="shared" si="30"/>
        <v>0</v>
      </c>
      <c r="V129" s="122"/>
      <c r="W129" s="122"/>
      <c r="X129" s="122"/>
      <c r="Y129" s="122"/>
      <c r="Z129" s="122"/>
      <c r="AA129" s="122"/>
      <c r="AB129" s="145">
        <f t="shared" si="33"/>
        <v>0</v>
      </c>
      <c r="AC129" s="146">
        <f t="shared" si="34"/>
        <v>0</v>
      </c>
    </row>
    <row r="130" spans="1:29" ht="26.25">
      <c r="A130" s="144">
        <v>124</v>
      </c>
      <c r="B130" s="160">
        <f>DATA!A125</f>
        <v>0</v>
      </c>
      <c r="C130" s="143">
        <f>DATA!B125</f>
        <v>0</v>
      </c>
      <c r="D130" s="132">
        <f>DATA!C125</f>
        <v>0</v>
      </c>
      <c r="E130" s="147"/>
      <c r="F130" s="147"/>
      <c r="G130" s="122"/>
      <c r="H130" s="122"/>
      <c r="I130" s="122"/>
      <c r="J130" s="122"/>
      <c r="K130" s="122"/>
      <c r="L130" s="126">
        <f t="shared" si="28"/>
        <v>0</v>
      </c>
      <c r="M130" s="122"/>
      <c r="N130" s="122"/>
      <c r="O130" s="122"/>
      <c r="P130" s="133">
        <f t="shared" si="29"/>
        <v>0</v>
      </c>
      <c r="Q130" s="122"/>
      <c r="R130" s="122"/>
      <c r="S130" s="122"/>
      <c r="T130" s="122"/>
      <c r="U130" s="134">
        <f t="shared" si="30"/>
        <v>0</v>
      </c>
      <c r="V130" s="122"/>
      <c r="W130" s="122"/>
      <c r="X130" s="122"/>
      <c r="Y130" s="122"/>
      <c r="Z130" s="122"/>
      <c r="AA130" s="122"/>
      <c r="AB130" s="145">
        <f t="shared" si="33"/>
        <v>0</v>
      </c>
      <c r="AC130" s="146">
        <f t="shared" si="34"/>
        <v>0</v>
      </c>
    </row>
    <row r="131" spans="1:29" ht="26.25">
      <c r="A131" s="144">
        <v>125</v>
      </c>
      <c r="B131" s="160">
        <f>DATA!A126</f>
        <v>0</v>
      </c>
      <c r="C131" s="143">
        <f>DATA!B126</f>
        <v>0</v>
      </c>
      <c r="D131" s="132">
        <f>DATA!C126</f>
        <v>0</v>
      </c>
      <c r="E131" s="147"/>
      <c r="F131" s="147"/>
      <c r="G131" s="122"/>
      <c r="H131" s="122"/>
      <c r="I131" s="122"/>
      <c r="J131" s="122"/>
      <c r="K131" s="122"/>
      <c r="L131" s="126">
        <f t="shared" si="28"/>
        <v>0</v>
      </c>
      <c r="M131" s="122"/>
      <c r="N131" s="122"/>
      <c r="O131" s="122"/>
      <c r="P131" s="133">
        <f t="shared" si="29"/>
        <v>0</v>
      </c>
      <c r="Q131" s="122"/>
      <c r="R131" s="122"/>
      <c r="S131" s="122"/>
      <c r="T131" s="122"/>
      <c r="U131" s="134">
        <f t="shared" si="30"/>
        <v>0</v>
      </c>
      <c r="V131" s="122"/>
      <c r="W131" s="122"/>
      <c r="X131" s="122"/>
      <c r="Y131" s="122"/>
      <c r="Z131" s="122"/>
      <c r="AA131" s="122"/>
      <c r="AB131" s="145">
        <f t="shared" si="33"/>
        <v>0</v>
      </c>
      <c r="AC131" s="146">
        <f t="shared" si="34"/>
        <v>0</v>
      </c>
    </row>
    <row r="132" spans="1:29" ht="26.25">
      <c r="A132" s="144">
        <v>126</v>
      </c>
      <c r="B132" s="160">
        <f>DATA!A127</f>
        <v>0</v>
      </c>
      <c r="C132" s="143">
        <f>DATA!B127</f>
        <v>0</v>
      </c>
      <c r="D132" s="132">
        <f>DATA!C127</f>
        <v>0</v>
      </c>
      <c r="E132" s="147"/>
      <c r="F132" s="147"/>
      <c r="G132" s="122"/>
      <c r="H132" s="122"/>
      <c r="I132" s="122"/>
      <c r="J132" s="122"/>
      <c r="K132" s="122"/>
      <c r="L132" s="126">
        <f t="shared" si="28"/>
        <v>0</v>
      </c>
      <c r="M132" s="122"/>
      <c r="N132" s="122"/>
      <c r="O132" s="122"/>
      <c r="P132" s="133">
        <f t="shared" si="29"/>
        <v>0</v>
      </c>
      <c r="Q132" s="122"/>
      <c r="R132" s="122"/>
      <c r="S132" s="122"/>
      <c r="T132" s="122"/>
      <c r="U132" s="134">
        <f t="shared" si="30"/>
        <v>0</v>
      </c>
      <c r="V132" s="122"/>
      <c r="W132" s="122"/>
      <c r="X132" s="122"/>
      <c r="Y132" s="122"/>
      <c r="Z132" s="122"/>
      <c r="AA132" s="122"/>
      <c r="AB132" s="145">
        <f t="shared" si="33"/>
        <v>0</v>
      </c>
      <c r="AC132" s="146">
        <f t="shared" si="34"/>
        <v>0</v>
      </c>
    </row>
    <row r="133" spans="1:29" ht="26.25">
      <c r="A133" s="144">
        <v>127</v>
      </c>
      <c r="B133" s="160">
        <f>DATA!A128</f>
        <v>0</v>
      </c>
      <c r="C133" s="143">
        <f>DATA!B128</f>
        <v>0</v>
      </c>
      <c r="D133" s="132">
        <f>DATA!C128</f>
        <v>0</v>
      </c>
      <c r="E133" s="147"/>
      <c r="F133" s="147"/>
      <c r="G133" s="122"/>
      <c r="H133" s="122"/>
      <c r="I133" s="122"/>
      <c r="J133" s="122"/>
      <c r="K133" s="122"/>
      <c r="L133" s="126">
        <f t="shared" si="28"/>
        <v>0</v>
      </c>
      <c r="M133" s="122"/>
      <c r="N133" s="122"/>
      <c r="O133" s="122"/>
      <c r="P133" s="133">
        <f t="shared" si="29"/>
        <v>0</v>
      </c>
      <c r="Q133" s="122"/>
      <c r="R133" s="122"/>
      <c r="S133" s="122"/>
      <c r="T133" s="122"/>
      <c r="U133" s="134">
        <f t="shared" si="30"/>
        <v>0</v>
      </c>
      <c r="V133" s="122"/>
      <c r="W133" s="122"/>
      <c r="X133" s="122"/>
      <c r="Y133" s="122"/>
      <c r="Z133" s="122"/>
      <c r="AA133" s="122"/>
      <c r="AB133" s="145">
        <f t="shared" si="33"/>
        <v>0</v>
      </c>
      <c r="AC133" s="146">
        <f t="shared" si="34"/>
        <v>0</v>
      </c>
    </row>
    <row r="134" spans="1:29" ht="26.25">
      <c r="A134" s="144">
        <v>128</v>
      </c>
      <c r="B134" s="160">
        <f>DATA!A129</f>
        <v>0</v>
      </c>
      <c r="C134" s="143">
        <f>DATA!B129</f>
        <v>0</v>
      </c>
      <c r="D134" s="132">
        <f>DATA!C129</f>
        <v>0</v>
      </c>
      <c r="E134" s="147"/>
      <c r="F134" s="147"/>
      <c r="G134" s="122"/>
      <c r="H134" s="122"/>
      <c r="I134" s="122"/>
      <c r="J134" s="122"/>
      <c r="K134" s="122"/>
      <c r="L134" s="126">
        <f t="shared" si="28"/>
        <v>0</v>
      </c>
      <c r="M134" s="122"/>
      <c r="N134" s="122"/>
      <c r="O134" s="122"/>
      <c r="P134" s="133">
        <f t="shared" si="29"/>
        <v>0</v>
      </c>
      <c r="Q134" s="122"/>
      <c r="R134" s="122"/>
      <c r="S134" s="122"/>
      <c r="T134" s="122"/>
      <c r="U134" s="134">
        <f t="shared" si="30"/>
        <v>0</v>
      </c>
      <c r="V134" s="122"/>
      <c r="W134" s="122"/>
      <c r="X134" s="122"/>
      <c r="Y134" s="122"/>
      <c r="Z134" s="122"/>
      <c r="AA134" s="122"/>
      <c r="AB134" s="145">
        <f t="shared" si="33"/>
        <v>0</v>
      </c>
      <c r="AC134" s="146">
        <f t="shared" si="34"/>
        <v>0</v>
      </c>
    </row>
    <row r="135" spans="1:29" ht="26.25">
      <c r="A135" s="144">
        <v>129</v>
      </c>
      <c r="B135" s="160">
        <f>DATA!A130</f>
        <v>0</v>
      </c>
      <c r="C135" s="143">
        <f>DATA!B130</f>
        <v>0</v>
      </c>
      <c r="D135" s="132">
        <f>DATA!C130</f>
        <v>0</v>
      </c>
      <c r="E135" s="147"/>
      <c r="F135" s="147"/>
      <c r="G135" s="122"/>
      <c r="H135" s="122"/>
      <c r="I135" s="122"/>
      <c r="J135" s="122"/>
      <c r="K135" s="122"/>
      <c r="L135" s="126">
        <f t="shared" si="28"/>
        <v>0</v>
      </c>
      <c r="M135" s="122"/>
      <c r="N135" s="122"/>
      <c r="O135" s="122"/>
      <c r="P135" s="133">
        <f t="shared" si="29"/>
        <v>0</v>
      </c>
      <c r="Q135" s="122"/>
      <c r="R135" s="122"/>
      <c r="S135" s="122"/>
      <c r="T135" s="122"/>
      <c r="U135" s="134">
        <f t="shared" si="30"/>
        <v>0</v>
      </c>
      <c r="V135" s="122"/>
      <c r="W135" s="122"/>
      <c r="X135" s="122"/>
      <c r="Y135" s="122"/>
      <c r="Z135" s="122"/>
      <c r="AA135" s="122"/>
      <c r="AB135" s="145">
        <f t="shared" si="33"/>
        <v>0</v>
      </c>
      <c r="AC135" s="146">
        <f t="shared" si="34"/>
        <v>0</v>
      </c>
    </row>
    <row r="136" spans="1:29" ht="26.25">
      <c r="A136" s="144">
        <v>130</v>
      </c>
      <c r="B136" s="160">
        <f>DATA!A131</f>
        <v>0</v>
      </c>
      <c r="C136" s="143">
        <f>DATA!B131</f>
        <v>0</v>
      </c>
      <c r="D136" s="132">
        <f>DATA!C131</f>
        <v>0</v>
      </c>
      <c r="E136" s="147"/>
      <c r="F136" s="147"/>
      <c r="G136" s="122"/>
      <c r="H136" s="122"/>
      <c r="I136" s="122"/>
      <c r="J136" s="122"/>
      <c r="K136" s="122"/>
      <c r="L136" s="126">
        <f t="shared" si="28"/>
        <v>0</v>
      </c>
      <c r="M136" s="122"/>
      <c r="N136" s="122"/>
      <c r="O136" s="122"/>
      <c r="P136" s="133">
        <f t="shared" si="29"/>
        <v>0</v>
      </c>
      <c r="Q136" s="122"/>
      <c r="R136" s="122"/>
      <c r="S136" s="122"/>
      <c r="T136" s="122"/>
      <c r="U136" s="134">
        <f t="shared" si="30"/>
        <v>0</v>
      </c>
      <c r="V136" s="122"/>
      <c r="W136" s="122"/>
      <c r="X136" s="122"/>
      <c r="Y136" s="122"/>
      <c r="Z136" s="122"/>
      <c r="AA136" s="122"/>
      <c r="AB136" s="145">
        <f t="shared" si="33"/>
        <v>0</v>
      </c>
      <c r="AC136" s="146">
        <f t="shared" si="34"/>
        <v>0</v>
      </c>
    </row>
    <row r="137" spans="1:29" ht="26.25">
      <c r="A137" s="144">
        <v>131</v>
      </c>
      <c r="B137" s="160">
        <f>DATA!A132</f>
        <v>0</v>
      </c>
      <c r="C137" s="143">
        <f>DATA!B132</f>
        <v>0</v>
      </c>
      <c r="D137" s="132">
        <f>DATA!C132</f>
        <v>0</v>
      </c>
      <c r="E137" s="147"/>
      <c r="F137" s="147"/>
      <c r="G137" s="122"/>
      <c r="H137" s="122"/>
      <c r="I137" s="122"/>
      <c r="J137" s="122"/>
      <c r="K137" s="122"/>
      <c r="L137" s="126">
        <f t="shared" si="28"/>
        <v>0</v>
      </c>
      <c r="M137" s="122"/>
      <c r="N137" s="122"/>
      <c r="O137" s="122"/>
      <c r="P137" s="133">
        <f t="shared" si="29"/>
        <v>0</v>
      </c>
      <c r="Q137" s="122"/>
      <c r="R137" s="122"/>
      <c r="S137" s="122"/>
      <c r="T137" s="122"/>
      <c r="U137" s="134">
        <f t="shared" si="30"/>
        <v>0</v>
      </c>
      <c r="V137" s="122"/>
      <c r="W137" s="122"/>
      <c r="X137" s="122"/>
      <c r="Y137" s="122"/>
      <c r="Z137" s="122"/>
      <c r="AA137" s="122"/>
      <c r="AB137" s="145">
        <f t="shared" si="33"/>
        <v>0</v>
      </c>
      <c r="AC137" s="146">
        <f t="shared" si="34"/>
        <v>0</v>
      </c>
    </row>
    <row r="138" spans="1:29" ht="26.25">
      <c r="A138" s="144">
        <v>132</v>
      </c>
      <c r="B138" s="160">
        <f>DATA!A133</f>
        <v>0</v>
      </c>
      <c r="C138" s="143">
        <f>DATA!B133</f>
        <v>0</v>
      </c>
      <c r="D138" s="132">
        <f>DATA!C133</f>
        <v>0</v>
      </c>
      <c r="E138" s="147"/>
      <c r="F138" s="147"/>
      <c r="G138" s="122"/>
      <c r="H138" s="122"/>
      <c r="I138" s="122"/>
      <c r="J138" s="122"/>
      <c r="K138" s="122"/>
      <c r="L138" s="126">
        <f t="shared" si="28"/>
        <v>0</v>
      </c>
      <c r="M138" s="122"/>
      <c r="N138" s="122"/>
      <c r="O138" s="122"/>
      <c r="P138" s="133">
        <f t="shared" si="29"/>
        <v>0</v>
      </c>
      <c r="Q138" s="122"/>
      <c r="R138" s="122"/>
      <c r="S138" s="122"/>
      <c r="T138" s="122"/>
      <c r="U138" s="134">
        <f t="shared" si="30"/>
        <v>0</v>
      </c>
      <c r="V138" s="122"/>
      <c r="W138" s="122"/>
      <c r="X138" s="122"/>
      <c r="Y138" s="122"/>
      <c r="Z138" s="122"/>
      <c r="AA138" s="122"/>
      <c r="AB138" s="145">
        <f t="shared" si="33"/>
        <v>0</v>
      </c>
      <c r="AC138" s="146">
        <f t="shared" si="34"/>
        <v>0</v>
      </c>
    </row>
    <row r="139" spans="1:29" ht="26.25">
      <c r="A139" s="144">
        <v>133</v>
      </c>
      <c r="B139" s="160">
        <f>DATA!A134</f>
        <v>0</v>
      </c>
      <c r="C139" s="143">
        <f>DATA!B134</f>
        <v>0</v>
      </c>
      <c r="D139" s="132">
        <f>DATA!C134</f>
        <v>0</v>
      </c>
      <c r="E139" s="147"/>
      <c r="F139" s="147"/>
      <c r="G139" s="122"/>
      <c r="H139" s="122"/>
      <c r="I139" s="122"/>
      <c r="J139" s="122"/>
      <c r="K139" s="122"/>
      <c r="L139" s="126">
        <f t="shared" si="28"/>
        <v>0</v>
      </c>
      <c r="M139" s="122"/>
      <c r="N139" s="122"/>
      <c r="O139" s="122"/>
      <c r="P139" s="133">
        <f t="shared" si="29"/>
        <v>0</v>
      </c>
      <c r="Q139" s="122"/>
      <c r="R139" s="122"/>
      <c r="S139" s="122"/>
      <c r="T139" s="122"/>
      <c r="U139" s="134">
        <f t="shared" si="30"/>
        <v>0</v>
      </c>
      <c r="V139" s="122"/>
      <c r="W139" s="122"/>
      <c r="X139" s="122"/>
      <c r="Y139" s="122"/>
      <c r="Z139" s="122"/>
      <c r="AA139" s="122"/>
      <c r="AB139" s="145">
        <f t="shared" si="33"/>
        <v>0</v>
      </c>
      <c r="AC139" s="146">
        <f t="shared" si="34"/>
        <v>0</v>
      </c>
    </row>
    <row r="140" spans="1:29" ht="26.25">
      <c r="A140" s="144">
        <v>134</v>
      </c>
      <c r="B140" s="160">
        <f>DATA!A135</f>
        <v>0</v>
      </c>
      <c r="C140" s="143">
        <f>DATA!B135</f>
        <v>0</v>
      </c>
      <c r="D140" s="132">
        <f>DATA!C135</f>
        <v>0</v>
      </c>
      <c r="E140" s="147"/>
      <c r="F140" s="147"/>
      <c r="G140" s="122"/>
      <c r="H140" s="122"/>
      <c r="I140" s="122"/>
      <c r="J140" s="122"/>
      <c r="K140" s="122"/>
      <c r="L140" s="126">
        <f t="shared" si="28"/>
        <v>0</v>
      </c>
      <c r="M140" s="122"/>
      <c r="N140" s="122"/>
      <c r="O140" s="122"/>
      <c r="P140" s="133">
        <f t="shared" si="29"/>
        <v>0</v>
      </c>
      <c r="Q140" s="122"/>
      <c r="R140" s="122"/>
      <c r="S140" s="122"/>
      <c r="T140" s="122"/>
      <c r="U140" s="134">
        <f t="shared" si="30"/>
        <v>0</v>
      </c>
      <c r="V140" s="122"/>
      <c r="W140" s="122"/>
      <c r="X140" s="122"/>
      <c r="Y140" s="122"/>
      <c r="Z140" s="122"/>
      <c r="AA140" s="122"/>
      <c r="AB140" s="145">
        <f t="shared" si="33"/>
        <v>0</v>
      </c>
      <c r="AC140" s="146">
        <f t="shared" si="34"/>
        <v>0</v>
      </c>
    </row>
    <row r="141" spans="1:29" ht="26.25">
      <c r="A141" s="144">
        <v>135</v>
      </c>
      <c r="B141" s="160">
        <f>DATA!A136</f>
        <v>0</v>
      </c>
      <c r="C141" s="143">
        <f>DATA!B136</f>
        <v>0</v>
      </c>
      <c r="D141" s="132">
        <f>DATA!C136</f>
        <v>0</v>
      </c>
      <c r="E141" s="147"/>
      <c r="F141" s="147"/>
      <c r="G141" s="122"/>
      <c r="H141" s="122"/>
      <c r="I141" s="122"/>
      <c r="J141" s="122"/>
      <c r="K141" s="122"/>
      <c r="L141" s="126">
        <f t="shared" si="28"/>
        <v>0</v>
      </c>
      <c r="M141" s="122"/>
      <c r="N141" s="122"/>
      <c r="O141" s="122"/>
      <c r="P141" s="133">
        <f t="shared" si="29"/>
        <v>0</v>
      </c>
      <c r="Q141" s="122"/>
      <c r="R141" s="122"/>
      <c r="S141" s="122"/>
      <c r="T141" s="122"/>
      <c r="U141" s="134">
        <f t="shared" si="30"/>
        <v>0</v>
      </c>
      <c r="V141" s="122"/>
      <c r="W141" s="122"/>
      <c r="X141" s="122"/>
      <c r="Y141" s="122"/>
      <c r="Z141" s="122"/>
      <c r="AA141" s="122"/>
      <c r="AB141" s="145">
        <f t="shared" si="33"/>
        <v>0</v>
      </c>
      <c r="AC141" s="146">
        <f t="shared" si="34"/>
        <v>0</v>
      </c>
    </row>
    <row r="142" spans="1:29" ht="26.25">
      <c r="A142" s="144">
        <v>136</v>
      </c>
      <c r="B142" s="160">
        <f>DATA!A137</f>
        <v>0</v>
      </c>
      <c r="C142" s="143">
        <f>DATA!B137</f>
        <v>0</v>
      </c>
      <c r="D142" s="132">
        <f>DATA!C137</f>
        <v>0</v>
      </c>
      <c r="E142" s="147"/>
      <c r="F142" s="147"/>
      <c r="G142" s="122"/>
      <c r="H142" s="122"/>
      <c r="I142" s="122"/>
      <c r="J142" s="122"/>
      <c r="K142" s="122"/>
      <c r="L142" s="126">
        <f t="shared" si="28"/>
        <v>0</v>
      </c>
      <c r="M142" s="122"/>
      <c r="N142" s="122"/>
      <c r="O142" s="122"/>
      <c r="P142" s="133">
        <f t="shared" si="29"/>
        <v>0</v>
      </c>
      <c r="Q142" s="122"/>
      <c r="R142" s="122"/>
      <c r="S142" s="122"/>
      <c r="T142" s="122"/>
      <c r="U142" s="134">
        <f t="shared" si="30"/>
        <v>0</v>
      </c>
      <c r="V142" s="122"/>
      <c r="W142" s="122"/>
      <c r="X142" s="122"/>
      <c r="Y142" s="122"/>
      <c r="Z142" s="122"/>
      <c r="AA142" s="122"/>
      <c r="AB142" s="145">
        <f t="shared" si="33"/>
        <v>0</v>
      </c>
      <c r="AC142" s="146">
        <f t="shared" si="34"/>
        <v>0</v>
      </c>
    </row>
    <row r="143" spans="1:29" ht="26.25">
      <c r="A143" s="144">
        <v>137</v>
      </c>
      <c r="B143" s="160">
        <f>DATA!A138</f>
        <v>0</v>
      </c>
      <c r="C143" s="143">
        <f>DATA!B138</f>
        <v>0</v>
      </c>
      <c r="D143" s="132">
        <f>DATA!C138</f>
        <v>0</v>
      </c>
      <c r="E143" s="147"/>
      <c r="F143" s="147"/>
      <c r="G143" s="122"/>
      <c r="H143" s="122"/>
      <c r="I143" s="122"/>
      <c r="J143" s="122"/>
      <c r="K143" s="122"/>
      <c r="L143" s="126">
        <f t="shared" si="28"/>
        <v>0</v>
      </c>
      <c r="M143" s="122"/>
      <c r="N143" s="122"/>
      <c r="O143" s="122"/>
      <c r="P143" s="133">
        <f t="shared" si="29"/>
        <v>0</v>
      </c>
      <c r="Q143" s="122"/>
      <c r="R143" s="122"/>
      <c r="S143" s="122"/>
      <c r="T143" s="122"/>
      <c r="U143" s="134">
        <f t="shared" si="30"/>
        <v>0</v>
      </c>
      <c r="V143" s="122"/>
      <c r="W143" s="122"/>
      <c r="X143" s="122"/>
      <c r="Y143" s="122"/>
      <c r="Z143" s="122"/>
      <c r="AA143" s="122"/>
      <c r="AB143" s="145">
        <f t="shared" si="33"/>
        <v>0</v>
      </c>
      <c r="AC143" s="146">
        <f t="shared" si="34"/>
        <v>0</v>
      </c>
    </row>
    <row r="144" spans="1:29" ht="26.25">
      <c r="A144" s="144">
        <v>138</v>
      </c>
      <c r="B144" s="160">
        <f>DATA!A139</f>
        <v>0</v>
      </c>
      <c r="C144" s="143">
        <f>DATA!B139</f>
        <v>0</v>
      </c>
      <c r="D144" s="132">
        <f>DATA!C139</f>
        <v>0</v>
      </c>
      <c r="E144" s="147"/>
      <c r="F144" s="147"/>
      <c r="G144" s="122"/>
      <c r="H144" s="122"/>
      <c r="I144" s="122"/>
      <c r="J144" s="122"/>
      <c r="K144" s="122"/>
      <c r="L144" s="126">
        <f t="shared" si="28"/>
        <v>0</v>
      </c>
      <c r="M144" s="122"/>
      <c r="N144" s="122"/>
      <c r="O144" s="122"/>
      <c r="P144" s="133">
        <f t="shared" si="29"/>
        <v>0</v>
      </c>
      <c r="Q144" s="122"/>
      <c r="R144" s="122"/>
      <c r="S144" s="122"/>
      <c r="T144" s="122"/>
      <c r="U144" s="134">
        <f t="shared" si="30"/>
        <v>0</v>
      </c>
      <c r="V144" s="122"/>
      <c r="W144" s="122"/>
      <c r="X144" s="122"/>
      <c r="Y144" s="122"/>
      <c r="Z144" s="122"/>
      <c r="AA144" s="122"/>
      <c r="AB144" s="145">
        <f t="shared" si="33"/>
        <v>0</v>
      </c>
      <c r="AC144" s="146">
        <f t="shared" si="34"/>
        <v>0</v>
      </c>
    </row>
    <row r="145" spans="1:29" ht="26.25">
      <c r="A145" s="144">
        <v>139</v>
      </c>
      <c r="B145" s="160">
        <f>DATA!A140</f>
        <v>0</v>
      </c>
      <c r="C145" s="143">
        <f>DATA!B140</f>
        <v>0</v>
      </c>
      <c r="D145" s="132">
        <f>DATA!C140</f>
        <v>0</v>
      </c>
      <c r="E145" s="147"/>
      <c r="F145" s="147"/>
      <c r="G145" s="122"/>
      <c r="H145" s="122"/>
      <c r="I145" s="122"/>
      <c r="J145" s="122"/>
      <c r="K145" s="122"/>
      <c r="L145" s="126">
        <f t="shared" si="28"/>
        <v>0</v>
      </c>
      <c r="M145" s="122"/>
      <c r="N145" s="122"/>
      <c r="O145" s="122"/>
      <c r="P145" s="133">
        <f t="shared" si="29"/>
        <v>0</v>
      </c>
      <c r="Q145" s="122"/>
      <c r="R145" s="122"/>
      <c r="S145" s="122"/>
      <c r="T145" s="122"/>
      <c r="U145" s="134">
        <f t="shared" si="30"/>
        <v>0</v>
      </c>
      <c r="V145" s="122"/>
      <c r="W145" s="122"/>
      <c r="X145" s="122"/>
      <c r="Y145" s="122"/>
      <c r="Z145" s="122"/>
      <c r="AA145" s="122"/>
      <c r="AB145" s="145">
        <f t="shared" si="33"/>
        <v>0</v>
      </c>
      <c r="AC145" s="146">
        <f t="shared" si="34"/>
        <v>0</v>
      </c>
    </row>
    <row r="146" spans="1:29" ht="26.25">
      <c r="A146" s="144">
        <v>140</v>
      </c>
      <c r="B146" s="160">
        <f>DATA!A141</f>
        <v>0</v>
      </c>
      <c r="C146" s="143">
        <f>DATA!B141</f>
        <v>0</v>
      </c>
      <c r="D146" s="132">
        <f>DATA!C141</f>
        <v>0</v>
      </c>
      <c r="E146" s="147"/>
      <c r="F146" s="147"/>
      <c r="G146" s="122"/>
      <c r="H146" s="122"/>
      <c r="I146" s="122"/>
      <c r="J146" s="122"/>
      <c r="K146" s="122"/>
      <c r="L146" s="126">
        <f t="shared" si="28"/>
        <v>0</v>
      </c>
      <c r="M146" s="122"/>
      <c r="N146" s="122"/>
      <c r="O146" s="122"/>
      <c r="P146" s="133">
        <f t="shared" si="29"/>
        <v>0</v>
      </c>
      <c r="Q146" s="122"/>
      <c r="R146" s="122"/>
      <c r="S146" s="122"/>
      <c r="T146" s="122"/>
      <c r="U146" s="134">
        <f t="shared" si="30"/>
        <v>0</v>
      </c>
      <c r="V146" s="122"/>
      <c r="W146" s="122"/>
      <c r="X146" s="122"/>
      <c r="Y146" s="122"/>
      <c r="Z146" s="122"/>
      <c r="AA146" s="122"/>
      <c r="AB146" s="145">
        <f t="shared" si="33"/>
        <v>0</v>
      </c>
      <c r="AC146" s="146">
        <f t="shared" si="34"/>
        <v>0</v>
      </c>
    </row>
    <row r="147" spans="1:29" ht="26.25">
      <c r="A147" s="144">
        <v>141</v>
      </c>
      <c r="B147" s="160">
        <f>DATA!A142</f>
        <v>0</v>
      </c>
      <c r="C147" s="143">
        <f>DATA!B142</f>
        <v>0</v>
      </c>
      <c r="D147" s="132">
        <f>DATA!C142</f>
        <v>0</v>
      </c>
      <c r="E147" s="147"/>
      <c r="F147" s="147"/>
      <c r="G147" s="122"/>
      <c r="H147" s="122"/>
      <c r="I147" s="122"/>
      <c r="J147" s="122"/>
      <c r="K147" s="122"/>
      <c r="L147" s="126">
        <f t="shared" si="28"/>
        <v>0</v>
      </c>
      <c r="M147" s="122"/>
      <c r="N147" s="122"/>
      <c r="O147" s="122"/>
      <c r="P147" s="133">
        <f t="shared" si="29"/>
        <v>0</v>
      </c>
      <c r="Q147" s="122"/>
      <c r="R147" s="122"/>
      <c r="S147" s="122"/>
      <c r="T147" s="122"/>
      <c r="U147" s="134">
        <f t="shared" si="30"/>
        <v>0</v>
      </c>
      <c r="V147" s="122"/>
      <c r="W147" s="122"/>
      <c r="X147" s="122"/>
      <c r="Y147" s="122"/>
      <c r="Z147" s="122"/>
      <c r="AA147" s="122"/>
      <c r="AB147" s="145">
        <f t="shared" si="33"/>
        <v>0</v>
      </c>
      <c r="AC147" s="146">
        <f t="shared" si="34"/>
        <v>0</v>
      </c>
    </row>
    <row r="148" spans="1:29" ht="26.25">
      <c r="A148" s="144">
        <v>142</v>
      </c>
      <c r="B148" s="160">
        <f>DATA!A143</f>
        <v>0</v>
      </c>
      <c r="C148" s="143">
        <f>DATA!B143</f>
        <v>0</v>
      </c>
      <c r="D148" s="132">
        <f>DATA!C143</f>
        <v>0</v>
      </c>
      <c r="E148" s="147"/>
      <c r="F148" s="147"/>
      <c r="G148" s="122"/>
      <c r="H148" s="122"/>
      <c r="I148" s="122"/>
      <c r="J148" s="122"/>
      <c r="K148" s="122"/>
      <c r="L148" s="126">
        <f t="shared" si="28"/>
        <v>0</v>
      </c>
      <c r="M148" s="122"/>
      <c r="N148" s="122"/>
      <c r="O148" s="122"/>
      <c r="P148" s="133">
        <f t="shared" si="29"/>
        <v>0</v>
      </c>
      <c r="Q148" s="122"/>
      <c r="R148" s="122"/>
      <c r="S148" s="122"/>
      <c r="T148" s="122"/>
      <c r="U148" s="134">
        <f t="shared" si="30"/>
        <v>0</v>
      </c>
      <c r="V148" s="122"/>
      <c r="W148" s="122"/>
      <c r="X148" s="122"/>
      <c r="Y148" s="122"/>
      <c r="Z148" s="122"/>
      <c r="AA148" s="122"/>
      <c r="AB148" s="145">
        <f t="shared" si="33"/>
        <v>0</v>
      </c>
      <c r="AC148" s="146">
        <f t="shared" si="34"/>
        <v>0</v>
      </c>
    </row>
    <row r="149" spans="1:29" ht="26.25">
      <c r="A149" s="144">
        <v>143</v>
      </c>
      <c r="B149" s="160">
        <f>DATA!A144</f>
        <v>0</v>
      </c>
      <c r="C149" s="143">
        <f>DATA!B144</f>
        <v>0</v>
      </c>
      <c r="D149" s="132">
        <f>DATA!C144</f>
        <v>0</v>
      </c>
      <c r="E149" s="147"/>
      <c r="F149" s="147"/>
      <c r="G149" s="122"/>
      <c r="H149" s="122"/>
      <c r="I149" s="122"/>
      <c r="J149" s="122"/>
      <c r="K149" s="122"/>
      <c r="L149" s="126">
        <f t="shared" si="28"/>
        <v>0</v>
      </c>
      <c r="M149" s="122"/>
      <c r="N149" s="122"/>
      <c r="O149" s="122"/>
      <c r="P149" s="133">
        <f t="shared" si="29"/>
        <v>0</v>
      </c>
      <c r="Q149" s="122"/>
      <c r="R149" s="122"/>
      <c r="S149" s="122"/>
      <c r="T149" s="122"/>
      <c r="U149" s="134">
        <f t="shared" si="30"/>
        <v>0</v>
      </c>
      <c r="V149" s="122"/>
      <c r="W149" s="122"/>
      <c r="X149" s="122"/>
      <c r="Y149" s="122"/>
      <c r="Z149" s="122"/>
      <c r="AA149" s="122"/>
      <c r="AB149" s="145">
        <f t="shared" si="33"/>
        <v>0</v>
      </c>
      <c r="AC149" s="146">
        <f t="shared" si="34"/>
        <v>0</v>
      </c>
    </row>
    <row r="150" spans="1:29" ht="26.25">
      <c r="A150" s="144">
        <v>144</v>
      </c>
      <c r="B150" s="160">
        <f>DATA!A145</f>
        <v>0</v>
      </c>
      <c r="C150" s="143">
        <f>DATA!B145</f>
        <v>0</v>
      </c>
      <c r="D150" s="132">
        <f>DATA!C145</f>
        <v>0</v>
      </c>
      <c r="E150" s="147"/>
      <c r="F150" s="147"/>
      <c r="G150" s="122"/>
      <c r="H150" s="122"/>
      <c r="I150" s="122"/>
      <c r="J150" s="122"/>
      <c r="K150" s="122"/>
      <c r="L150" s="126">
        <f t="shared" si="28"/>
        <v>0</v>
      </c>
      <c r="M150" s="122"/>
      <c r="N150" s="122"/>
      <c r="O150" s="122"/>
      <c r="P150" s="133">
        <f t="shared" si="29"/>
        <v>0</v>
      </c>
      <c r="Q150" s="122"/>
      <c r="R150" s="122"/>
      <c r="S150" s="122"/>
      <c r="T150" s="122"/>
      <c r="U150" s="134">
        <f t="shared" si="30"/>
        <v>0</v>
      </c>
      <c r="V150" s="122"/>
      <c r="W150" s="122"/>
      <c r="X150" s="122"/>
      <c r="Y150" s="122"/>
      <c r="Z150" s="122"/>
      <c r="AA150" s="122"/>
      <c r="AB150" s="145">
        <f t="shared" si="33"/>
        <v>0</v>
      </c>
      <c r="AC150" s="146">
        <f t="shared" si="34"/>
        <v>0</v>
      </c>
    </row>
    <row r="151" spans="1:29" ht="26.25">
      <c r="A151" s="144">
        <v>145</v>
      </c>
      <c r="B151" s="160">
        <f>DATA!A146</f>
        <v>0</v>
      </c>
      <c r="C151" s="143">
        <f>DATA!B146</f>
        <v>0</v>
      </c>
      <c r="D151" s="132">
        <f>DATA!C146</f>
        <v>0</v>
      </c>
      <c r="E151" s="147"/>
      <c r="F151" s="147"/>
      <c r="G151" s="122"/>
      <c r="H151" s="122"/>
      <c r="I151" s="122"/>
      <c r="J151" s="122"/>
      <c r="K151" s="122"/>
      <c r="L151" s="126">
        <f t="shared" si="28"/>
        <v>0</v>
      </c>
      <c r="M151" s="122"/>
      <c r="N151" s="122"/>
      <c r="O151" s="122"/>
      <c r="P151" s="133">
        <f t="shared" si="29"/>
        <v>0</v>
      </c>
      <c r="Q151" s="122"/>
      <c r="R151" s="122"/>
      <c r="S151" s="122"/>
      <c r="T151" s="122"/>
      <c r="U151" s="134">
        <f t="shared" si="30"/>
        <v>0</v>
      </c>
      <c r="V151" s="122"/>
      <c r="W151" s="122"/>
      <c r="X151" s="122"/>
      <c r="Y151" s="122"/>
      <c r="Z151" s="122"/>
      <c r="AA151" s="122"/>
      <c r="AB151" s="145">
        <f t="shared" si="33"/>
        <v>0</v>
      </c>
      <c r="AC151" s="146">
        <f t="shared" si="34"/>
        <v>0</v>
      </c>
    </row>
    <row r="152" spans="1:29" ht="26.25">
      <c r="A152" s="144">
        <v>146</v>
      </c>
      <c r="B152" s="160">
        <f>DATA!A147</f>
        <v>0</v>
      </c>
      <c r="C152" s="143">
        <f>DATA!B147</f>
        <v>0</v>
      </c>
      <c r="D152" s="132">
        <f>DATA!C147</f>
        <v>0</v>
      </c>
      <c r="E152" s="147"/>
      <c r="F152" s="147"/>
      <c r="G152" s="122"/>
      <c r="H152" s="122"/>
      <c r="I152" s="122"/>
      <c r="J152" s="122"/>
      <c r="K152" s="122"/>
      <c r="L152" s="126">
        <f t="shared" si="28"/>
        <v>0</v>
      </c>
      <c r="M152" s="122"/>
      <c r="N152" s="122"/>
      <c r="O152" s="122"/>
      <c r="P152" s="133">
        <f t="shared" si="29"/>
        <v>0</v>
      </c>
      <c r="Q152" s="122"/>
      <c r="R152" s="122"/>
      <c r="S152" s="122"/>
      <c r="T152" s="122"/>
      <c r="U152" s="134">
        <f t="shared" si="30"/>
        <v>0</v>
      </c>
      <c r="V152" s="122"/>
      <c r="W152" s="122"/>
      <c r="X152" s="122"/>
      <c r="Y152" s="122"/>
      <c r="Z152" s="122"/>
      <c r="AA152" s="122"/>
      <c r="AB152" s="145">
        <f t="shared" si="33"/>
        <v>0</v>
      </c>
      <c r="AC152" s="146">
        <f t="shared" si="34"/>
        <v>0</v>
      </c>
    </row>
    <row r="153" spans="1:29" ht="26.25">
      <c r="A153" s="144">
        <v>147</v>
      </c>
      <c r="B153" s="160">
        <f>DATA!A148</f>
        <v>0</v>
      </c>
      <c r="C153" s="143">
        <f>DATA!B148</f>
        <v>0</v>
      </c>
      <c r="D153" s="132">
        <f>DATA!C148</f>
        <v>0</v>
      </c>
      <c r="E153" s="147"/>
      <c r="F153" s="147"/>
      <c r="G153" s="122"/>
      <c r="H153" s="122"/>
      <c r="I153" s="122"/>
      <c r="J153" s="122"/>
      <c r="K153" s="122"/>
      <c r="L153" s="126">
        <f t="shared" si="28"/>
        <v>0</v>
      </c>
      <c r="M153" s="122"/>
      <c r="N153" s="122"/>
      <c r="O153" s="122"/>
      <c r="P153" s="133">
        <f t="shared" si="29"/>
        <v>0</v>
      </c>
      <c r="Q153" s="122"/>
      <c r="R153" s="122"/>
      <c r="S153" s="122"/>
      <c r="T153" s="122"/>
      <c r="U153" s="134">
        <f t="shared" si="30"/>
        <v>0</v>
      </c>
      <c r="V153" s="122"/>
      <c r="W153" s="122"/>
      <c r="X153" s="122"/>
      <c r="Y153" s="122"/>
      <c r="Z153" s="122"/>
      <c r="AA153" s="122"/>
      <c r="AB153" s="145">
        <f t="shared" si="33"/>
        <v>0</v>
      </c>
      <c r="AC153" s="146">
        <f t="shared" si="34"/>
        <v>0</v>
      </c>
    </row>
    <row r="154" spans="1:29" ht="26.25">
      <c r="A154" s="144">
        <v>148</v>
      </c>
      <c r="B154" s="160">
        <f>DATA!A149</f>
        <v>0</v>
      </c>
      <c r="C154" s="143">
        <f>DATA!B149</f>
        <v>0</v>
      </c>
      <c r="D154" s="132">
        <f>DATA!C149</f>
        <v>0</v>
      </c>
      <c r="E154" s="147"/>
      <c r="F154" s="147"/>
      <c r="G154" s="122"/>
      <c r="H154" s="122"/>
      <c r="I154" s="122"/>
      <c r="J154" s="122"/>
      <c r="K154" s="122"/>
      <c r="L154" s="126">
        <f t="shared" si="28"/>
        <v>0</v>
      </c>
      <c r="M154" s="122"/>
      <c r="N154" s="122"/>
      <c r="O154" s="122"/>
      <c r="P154" s="133">
        <f t="shared" si="29"/>
        <v>0</v>
      </c>
      <c r="Q154" s="122"/>
      <c r="R154" s="122"/>
      <c r="S154" s="122"/>
      <c r="T154" s="122"/>
      <c r="U154" s="134">
        <f t="shared" si="30"/>
        <v>0</v>
      </c>
      <c r="V154" s="122"/>
      <c r="W154" s="122"/>
      <c r="X154" s="122"/>
      <c r="Y154" s="122"/>
      <c r="Z154" s="122"/>
      <c r="AA154" s="122"/>
      <c r="AB154" s="145">
        <f t="shared" si="33"/>
        <v>0</v>
      </c>
      <c r="AC154" s="146">
        <f t="shared" si="34"/>
        <v>0</v>
      </c>
    </row>
    <row r="155" spans="1:29" ht="26.25">
      <c r="A155" s="144">
        <v>149</v>
      </c>
      <c r="B155" s="160">
        <f>DATA!A150</f>
        <v>0</v>
      </c>
      <c r="C155" s="143">
        <f>DATA!B150</f>
        <v>0</v>
      </c>
      <c r="D155" s="132">
        <f>DATA!C150</f>
        <v>0</v>
      </c>
      <c r="E155" s="147"/>
      <c r="F155" s="147"/>
      <c r="G155" s="122"/>
      <c r="H155" s="122"/>
      <c r="I155" s="122"/>
      <c r="J155" s="122"/>
      <c r="K155" s="122"/>
      <c r="L155" s="126">
        <f t="shared" si="28"/>
        <v>0</v>
      </c>
      <c r="M155" s="122"/>
      <c r="N155" s="122"/>
      <c r="O155" s="122"/>
      <c r="P155" s="133">
        <f t="shared" si="29"/>
        <v>0</v>
      </c>
      <c r="Q155" s="122"/>
      <c r="R155" s="122"/>
      <c r="S155" s="122"/>
      <c r="T155" s="122"/>
      <c r="U155" s="134">
        <f t="shared" si="30"/>
        <v>0</v>
      </c>
      <c r="V155" s="122"/>
      <c r="W155" s="122"/>
      <c r="X155" s="122"/>
      <c r="Y155" s="122"/>
      <c r="Z155" s="122"/>
      <c r="AA155" s="122"/>
      <c r="AB155" s="145">
        <f t="shared" si="33"/>
        <v>0</v>
      </c>
      <c r="AC155" s="146">
        <f t="shared" si="34"/>
        <v>0</v>
      </c>
    </row>
    <row r="156" spans="1:29" ht="26.25">
      <c r="A156" s="144">
        <v>150</v>
      </c>
      <c r="B156" s="160">
        <f>DATA!A151</f>
        <v>0</v>
      </c>
      <c r="C156" s="143">
        <f>DATA!B151</f>
        <v>0</v>
      </c>
      <c r="D156" s="132">
        <f>DATA!C151</f>
        <v>0</v>
      </c>
      <c r="E156" s="147"/>
      <c r="F156" s="147"/>
      <c r="G156" s="122"/>
      <c r="H156" s="122"/>
      <c r="I156" s="122"/>
      <c r="J156" s="122"/>
      <c r="K156" s="122"/>
      <c r="L156" s="126">
        <f t="shared" si="28"/>
        <v>0</v>
      </c>
      <c r="M156" s="122"/>
      <c r="N156" s="122"/>
      <c r="O156" s="122"/>
      <c r="P156" s="133">
        <f t="shared" si="29"/>
        <v>0</v>
      </c>
      <c r="Q156" s="122"/>
      <c r="R156" s="122"/>
      <c r="S156" s="122"/>
      <c r="T156" s="122"/>
      <c r="U156" s="134">
        <f t="shared" si="30"/>
        <v>0</v>
      </c>
      <c r="V156" s="122"/>
      <c r="W156" s="122"/>
      <c r="X156" s="122"/>
      <c r="Y156" s="122"/>
      <c r="Z156" s="122"/>
      <c r="AA156" s="122"/>
      <c r="AB156" s="145">
        <f t="shared" si="33"/>
        <v>0</v>
      </c>
      <c r="AC156" s="146">
        <f t="shared" si="34"/>
        <v>0</v>
      </c>
    </row>
    <row r="157" spans="1:29" ht="26.25">
      <c r="A157" s="144">
        <v>151</v>
      </c>
      <c r="B157" s="160">
        <f>DATA!A152</f>
        <v>0</v>
      </c>
      <c r="C157" s="143">
        <f>DATA!B152</f>
        <v>0</v>
      </c>
      <c r="D157" s="132">
        <f>DATA!C152</f>
        <v>0</v>
      </c>
      <c r="E157" s="147"/>
      <c r="F157" s="147"/>
      <c r="G157" s="122"/>
      <c r="H157" s="122"/>
      <c r="I157" s="122"/>
      <c r="J157" s="122"/>
      <c r="K157" s="122"/>
      <c r="L157" s="126">
        <f t="shared" si="28"/>
        <v>0</v>
      </c>
      <c r="M157" s="122"/>
      <c r="N157" s="122"/>
      <c r="O157" s="122"/>
      <c r="P157" s="133">
        <f t="shared" si="29"/>
        <v>0</v>
      </c>
      <c r="Q157" s="122"/>
      <c r="R157" s="122"/>
      <c r="S157" s="122"/>
      <c r="T157" s="122"/>
      <c r="U157" s="134">
        <f t="shared" si="30"/>
        <v>0</v>
      </c>
      <c r="V157" s="122"/>
      <c r="W157" s="122"/>
      <c r="X157" s="122"/>
      <c r="Y157" s="122"/>
      <c r="Z157" s="122"/>
      <c r="AA157" s="122"/>
      <c r="AB157" s="145">
        <f t="shared" si="33"/>
        <v>0</v>
      </c>
      <c r="AC157" s="146">
        <f t="shared" si="34"/>
        <v>0</v>
      </c>
    </row>
    <row r="158" spans="1:29" ht="26.25">
      <c r="A158" s="144">
        <v>152</v>
      </c>
      <c r="B158" s="160">
        <f>DATA!A153</f>
        <v>0</v>
      </c>
      <c r="C158" s="143">
        <f>DATA!B153</f>
        <v>0</v>
      </c>
      <c r="D158" s="132">
        <f>DATA!C153</f>
        <v>0</v>
      </c>
      <c r="E158" s="147"/>
      <c r="F158" s="147"/>
      <c r="G158" s="122"/>
      <c r="H158" s="122"/>
      <c r="I158" s="122"/>
      <c r="J158" s="122"/>
      <c r="K158" s="122"/>
      <c r="L158" s="126">
        <f t="shared" si="28"/>
        <v>0</v>
      </c>
      <c r="M158" s="122"/>
      <c r="N158" s="122"/>
      <c r="O158" s="122"/>
      <c r="P158" s="133">
        <f t="shared" si="29"/>
        <v>0</v>
      </c>
      <c r="Q158" s="122"/>
      <c r="R158" s="122"/>
      <c r="S158" s="122"/>
      <c r="T158" s="122"/>
      <c r="U158" s="134">
        <f t="shared" si="30"/>
        <v>0</v>
      </c>
      <c r="V158" s="122"/>
      <c r="W158" s="122"/>
      <c r="X158" s="122"/>
      <c r="Y158" s="122"/>
      <c r="Z158" s="122"/>
      <c r="AA158" s="122"/>
      <c r="AB158" s="145">
        <f t="shared" si="33"/>
        <v>0</v>
      </c>
      <c r="AC158" s="146">
        <f t="shared" si="34"/>
        <v>0</v>
      </c>
    </row>
    <row r="159" spans="1:29" ht="26.25">
      <c r="A159" s="144">
        <v>153</v>
      </c>
      <c r="B159" s="160">
        <f>DATA!A154</f>
        <v>0</v>
      </c>
      <c r="C159" s="143">
        <f>DATA!B154</f>
        <v>0</v>
      </c>
      <c r="D159" s="132">
        <f>DATA!C154</f>
        <v>0</v>
      </c>
      <c r="E159" s="147"/>
      <c r="F159" s="147"/>
      <c r="G159" s="122"/>
      <c r="H159" s="122"/>
      <c r="I159" s="122"/>
      <c r="J159" s="122"/>
      <c r="K159" s="122"/>
      <c r="L159" s="126">
        <f t="shared" si="28"/>
        <v>0</v>
      </c>
      <c r="M159" s="122"/>
      <c r="N159" s="122"/>
      <c r="O159" s="122"/>
      <c r="P159" s="133">
        <f t="shared" si="29"/>
        <v>0</v>
      </c>
      <c r="Q159" s="122"/>
      <c r="R159" s="122"/>
      <c r="S159" s="122"/>
      <c r="T159" s="122"/>
      <c r="U159" s="134">
        <f t="shared" si="30"/>
        <v>0</v>
      </c>
      <c r="V159" s="122"/>
      <c r="W159" s="122"/>
      <c r="X159" s="122"/>
      <c r="Y159" s="122"/>
      <c r="Z159" s="122"/>
      <c r="AA159" s="122"/>
      <c r="AB159" s="145">
        <f t="shared" si="33"/>
        <v>0</v>
      </c>
      <c r="AC159" s="146">
        <f t="shared" si="34"/>
        <v>0</v>
      </c>
    </row>
    <row r="160" spans="1:29" ht="26.25">
      <c r="A160" s="144">
        <v>154</v>
      </c>
      <c r="B160" s="160">
        <f>DATA!A155</f>
        <v>0</v>
      </c>
      <c r="C160" s="143">
        <f>DATA!B155</f>
        <v>0</v>
      </c>
      <c r="D160" s="132">
        <f>DATA!C155</f>
        <v>0</v>
      </c>
      <c r="E160" s="147"/>
      <c r="F160" s="147"/>
      <c r="G160" s="122"/>
      <c r="H160" s="122"/>
      <c r="I160" s="122"/>
      <c r="J160" s="122"/>
      <c r="K160" s="122"/>
      <c r="L160" s="126">
        <f t="shared" si="28"/>
        <v>0</v>
      </c>
      <c r="M160" s="122"/>
      <c r="N160" s="122"/>
      <c r="O160" s="122"/>
      <c r="P160" s="133">
        <f t="shared" si="29"/>
        <v>0</v>
      </c>
      <c r="Q160" s="122"/>
      <c r="R160" s="122"/>
      <c r="S160" s="122"/>
      <c r="T160" s="122"/>
      <c r="U160" s="134">
        <f t="shared" si="30"/>
        <v>0</v>
      </c>
      <c r="V160" s="122"/>
      <c r="W160" s="122"/>
      <c r="X160" s="122"/>
      <c r="Y160" s="122"/>
      <c r="Z160" s="122"/>
      <c r="AA160" s="122"/>
      <c r="AB160" s="145">
        <f t="shared" si="33"/>
        <v>0</v>
      </c>
      <c r="AC160" s="146">
        <f t="shared" si="34"/>
        <v>0</v>
      </c>
    </row>
    <row r="161" spans="1:29" ht="26.25">
      <c r="A161" s="144">
        <v>155</v>
      </c>
      <c r="B161" s="160">
        <f>DATA!A156</f>
        <v>0</v>
      </c>
      <c r="C161" s="143">
        <f>DATA!B156</f>
        <v>0</v>
      </c>
      <c r="D161" s="132">
        <f>DATA!C156</f>
        <v>0</v>
      </c>
      <c r="E161" s="147"/>
      <c r="F161" s="147"/>
      <c r="G161" s="122"/>
      <c r="H161" s="122"/>
      <c r="I161" s="122"/>
      <c r="J161" s="122"/>
      <c r="K161" s="122"/>
      <c r="L161" s="126">
        <f t="shared" si="28"/>
        <v>0</v>
      </c>
      <c r="M161" s="122"/>
      <c r="N161" s="122"/>
      <c r="O161" s="122"/>
      <c r="P161" s="133">
        <f t="shared" si="29"/>
        <v>0</v>
      </c>
      <c r="Q161" s="122"/>
      <c r="R161" s="122"/>
      <c r="S161" s="122"/>
      <c r="T161" s="122"/>
      <c r="U161" s="134">
        <f t="shared" si="30"/>
        <v>0</v>
      </c>
      <c r="V161" s="122"/>
      <c r="W161" s="122"/>
      <c r="X161" s="122"/>
      <c r="Y161" s="122"/>
      <c r="Z161" s="122"/>
      <c r="AA161" s="122"/>
      <c r="AB161" s="145">
        <f t="shared" si="33"/>
        <v>0</v>
      </c>
      <c r="AC161" s="146">
        <f t="shared" si="34"/>
        <v>0</v>
      </c>
    </row>
    <row r="162" spans="1:29" ht="26.25">
      <c r="A162" s="144">
        <v>156</v>
      </c>
      <c r="B162" s="160">
        <f>DATA!A157</f>
        <v>0</v>
      </c>
      <c r="C162" s="143">
        <f>DATA!B157</f>
        <v>0</v>
      </c>
      <c r="D162" s="132">
        <f>DATA!C157</f>
        <v>0</v>
      </c>
      <c r="E162" s="147"/>
      <c r="F162" s="147"/>
      <c r="G162" s="122"/>
      <c r="H162" s="122"/>
      <c r="I162" s="122"/>
      <c r="J162" s="122"/>
      <c r="K162" s="122"/>
      <c r="L162" s="126">
        <f t="shared" si="28"/>
        <v>0</v>
      </c>
      <c r="M162" s="122"/>
      <c r="N162" s="122"/>
      <c r="O162" s="122"/>
      <c r="P162" s="133">
        <f t="shared" si="29"/>
        <v>0</v>
      </c>
      <c r="Q162" s="122"/>
      <c r="R162" s="122"/>
      <c r="S162" s="122"/>
      <c r="T162" s="122"/>
      <c r="U162" s="134">
        <f t="shared" si="30"/>
        <v>0</v>
      </c>
      <c r="V162" s="122"/>
      <c r="W162" s="122"/>
      <c r="X162" s="122"/>
      <c r="Y162" s="122"/>
      <c r="Z162" s="122"/>
      <c r="AA162" s="122"/>
      <c r="AB162" s="145">
        <f t="shared" si="33"/>
        <v>0</v>
      </c>
      <c r="AC162" s="146">
        <f t="shared" si="34"/>
        <v>0</v>
      </c>
    </row>
    <row r="163" spans="1:29" ht="26.25">
      <c r="A163" s="144">
        <v>157</v>
      </c>
      <c r="B163" s="160">
        <f>DATA!A158</f>
        <v>0</v>
      </c>
      <c r="C163" s="143">
        <f>DATA!B158</f>
        <v>0</v>
      </c>
      <c r="D163" s="132">
        <f>DATA!C158</f>
        <v>0</v>
      </c>
      <c r="E163" s="147"/>
      <c r="F163" s="147"/>
      <c r="G163" s="122"/>
      <c r="H163" s="122"/>
      <c r="I163" s="122"/>
      <c r="J163" s="122"/>
      <c r="K163" s="122"/>
      <c r="L163" s="126">
        <f t="shared" si="28"/>
        <v>0</v>
      </c>
      <c r="M163" s="122"/>
      <c r="N163" s="122"/>
      <c r="O163" s="122"/>
      <c r="P163" s="133">
        <f t="shared" si="29"/>
        <v>0</v>
      </c>
      <c r="Q163" s="122"/>
      <c r="R163" s="122"/>
      <c r="S163" s="122"/>
      <c r="T163" s="122"/>
      <c r="U163" s="134">
        <f t="shared" si="30"/>
        <v>0</v>
      </c>
      <c r="V163" s="122"/>
      <c r="W163" s="122"/>
      <c r="X163" s="122"/>
      <c r="Y163" s="122"/>
      <c r="Z163" s="122"/>
      <c r="AA163" s="122"/>
      <c r="AB163" s="145">
        <f t="shared" si="33"/>
        <v>0</v>
      </c>
      <c r="AC163" s="146">
        <f t="shared" si="34"/>
        <v>0</v>
      </c>
    </row>
    <row r="164" spans="1:29" ht="26.25">
      <c r="A164" s="144">
        <v>158</v>
      </c>
      <c r="B164" s="160">
        <f>DATA!A159</f>
        <v>0</v>
      </c>
      <c r="C164" s="143">
        <f>DATA!B159</f>
        <v>0</v>
      </c>
      <c r="D164" s="132">
        <f>DATA!C159</f>
        <v>0</v>
      </c>
      <c r="E164" s="147"/>
      <c r="F164" s="147"/>
      <c r="G164" s="122"/>
      <c r="H164" s="122"/>
      <c r="I164" s="122"/>
      <c r="J164" s="122"/>
      <c r="K164" s="122"/>
      <c r="L164" s="126">
        <f t="shared" si="28"/>
        <v>0</v>
      </c>
      <c r="M164" s="122"/>
      <c r="N164" s="122"/>
      <c r="O164" s="122"/>
      <c r="P164" s="133">
        <f t="shared" si="29"/>
        <v>0</v>
      </c>
      <c r="Q164" s="122"/>
      <c r="R164" s="122"/>
      <c r="S164" s="122"/>
      <c r="T164" s="122"/>
      <c r="U164" s="134">
        <f t="shared" si="30"/>
        <v>0</v>
      </c>
      <c r="V164" s="122"/>
      <c r="W164" s="122"/>
      <c r="X164" s="122"/>
      <c r="Y164" s="122"/>
      <c r="Z164" s="122"/>
      <c r="AA164" s="122"/>
      <c r="AB164" s="145">
        <f t="shared" si="33"/>
        <v>0</v>
      </c>
      <c r="AC164" s="146">
        <f t="shared" si="34"/>
        <v>0</v>
      </c>
    </row>
    <row r="165" spans="1:29" ht="26.25">
      <c r="A165" s="144">
        <v>159</v>
      </c>
      <c r="B165" s="160">
        <f>DATA!A160</f>
        <v>0</v>
      </c>
      <c r="C165" s="143">
        <f>DATA!B160</f>
        <v>0</v>
      </c>
      <c r="D165" s="132">
        <f>DATA!C160</f>
        <v>0</v>
      </c>
      <c r="E165" s="147"/>
      <c r="F165" s="147"/>
      <c r="G165" s="122"/>
      <c r="H165" s="122"/>
      <c r="I165" s="122"/>
      <c r="J165" s="122"/>
      <c r="K165" s="122"/>
      <c r="L165" s="126">
        <f t="shared" si="28"/>
        <v>0</v>
      </c>
      <c r="M165" s="122"/>
      <c r="N165" s="122"/>
      <c r="O165" s="122"/>
      <c r="P165" s="133">
        <f t="shared" si="29"/>
        <v>0</v>
      </c>
      <c r="Q165" s="122"/>
      <c r="R165" s="122"/>
      <c r="S165" s="122"/>
      <c r="T165" s="122"/>
      <c r="U165" s="134">
        <f t="shared" si="30"/>
        <v>0</v>
      </c>
      <c r="V165" s="122"/>
      <c r="W165" s="122"/>
      <c r="X165" s="122"/>
      <c r="Y165" s="122"/>
      <c r="Z165" s="122"/>
      <c r="AA165" s="122"/>
      <c r="AB165" s="145">
        <f t="shared" si="33"/>
        <v>0</v>
      </c>
      <c r="AC165" s="146">
        <f t="shared" si="34"/>
        <v>0</v>
      </c>
    </row>
    <row r="166" spans="1:29" ht="26.25">
      <c r="A166" s="144">
        <v>160</v>
      </c>
      <c r="B166" s="160">
        <f>DATA!A161</f>
        <v>0</v>
      </c>
      <c r="C166" s="143">
        <f>DATA!B161</f>
        <v>0</v>
      </c>
      <c r="D166" s="132">
        <f>DATA!C161</f>
        <v>0</v>
      </c>
      <c r="E166" s="147"/>
      <c r="F166" s="147"/>
      <c r="G166" s="122"/>
      <c r="H166" s="122"/>
      <c r="I166" s="122"/>
      <c r="J166" s="122"/>
      <c r="K166" s="122"/>
      <c r="L166" s="126">
        <f t="shared" si="28"/>
        <v>0</v>
      </c>
      <c r="M166" s="122"/>
      <c r="N166" s="122"/>
      <c r="O166" s="122"/>
      <c r="P166" s="133">
        <f t="shared" si="29"/>
        <v>0</v>
      </c>
      <c r="Q166" s="122"/>
      <c r="R166" s="122"/>
      <c r="S166" s="122"/>
      <c r="T166" s="122"/>
      <c r="U166" s="134">
        <f t="shared" si="30"/>
        <v>0</v>
      </c>
      <c r="V166" s="122"/>
      <c r="W166" s="122"/>
      <c r="X166" s="122"/>
      <c r="Y166" s="122"/>
      <c r="Z166" s="122"/>
      <c r="AA166" s="122"/>
      <c r="AB166" s="145">
        <f t="shared" si="33"/>
        <v>0</v>
      </c>
      <c r="AC166" s="146">
        <f t="shared" si="34"/>
        <v>0</v>
      </c>
    </row>
    <row r="167" spans="1:29" ht="26.25">
      <c r="A167" s="144">
        <v>161</v>
      </c>
      <c r="B167" s="160">
        <f>DATA!A162</f>
        <v>0</v>
      </c>
      <c r="C167" s="143">
        <f>DATA!B162</f>
        <v>0</v>
      </c>
      <c r="D167" s="132">
        <f>DATA!C162</f>
        <v>0</v>
      </c>
      <c r="E167" s="147"/>
      <c r="F167" s="147"/>
      <c r="G167" s="122"/>
      <c r="H167" s="122"/>
      <c r="I167" s="122"/>
      <c r="J167" s="122"/>
      <c r="K167" s="122"/>
      <c r="L167" s="126">
        <f t="shared" si="28"/>
        <v>0</v>
      </c>
      <c r="M167" s="122"/>
      <c r="N167" s="122"/>
      <c r="O167" s="122"/>
      <c r="P167" s="133">
        <f t="shared" si="29"/>
        <v>0</v>
      </c>
      <c r="Q167" s="122"/>
      <c r="R167" s="122"/>
      <c r="S167" s="122"/>
      <c r="T167" s="122"/>
      <c r="U167" s="134">
        <f t="shared" si="30"/>
        <v>0</v>
      </c>
      <c r="V167" s="122"/>
      <c r="W167" s="122"/>
      <c r="X167" s="122"/>
      <c r="Y167" s="122"/>
      <c r="Z167" s="122"/>
      <c r="AA167" s="122"/>
      <c r="AB167" s="145">
        <f t="shared" si="33"/>
        <v>0</v>
      </c>
      <c r="AC167" s="146">
        <f t="shared" si="34"/>
        <v>0</v>
      </c>
    </row>
    <row r="168" spans="1:29" ht="26.25">
      <c r="A168" s="144">
        <v>162</v>
      </c>
      <c r="B168" s="160">
        <f>DATA!A163</f>
        <v>0</v>
      </c>
      <c r="C168" s="143">
        <f>DATA!B163</f>
        <v>0</v>
      </c>
      <c r="D168" s="132">
        <f>DATA!C163</f>
        <v>0</v>
      </c>
      <c r="E168" s="147"/>
      <c r="F168" s="147"/>
      <c r="G168" s="122"/>
      <c r="H168" s="122"/>
      <c r="I168" s="122"/>
      <c r="J168" s="122"/>
      <c r="K168" s="122"/>
      <c r="L168" s="126">
        <f t="shared" si="28"/>
        <v>0</v>
      </c>
      <c r="M168" s="122"/>
      <c r="N168" s="122"/>
      <c r="O168" s="122"/>
      <c r="P168" s="133">
        <f t="shared" si="29"/>
        <v>0</v>
      </c>
      <c r="Q168" s="122"/>
      <c r="R168" s="122"/>
      <c r="S168" s="122"/>
      <c r="T168" s="122"/>
      <c r="U168" s="134">
        <f t="shared" si="30"/>
        <v>0</v>
      </c>
      <c r="V168" s="122"/>
      <c r="W168" s="122"/>
      <c r="X168" s="122"/>
      <c r="Y168" s="122"/>
      <c r="Z168" s="122"/>
      <c r="AA168" s="122"/>
      <c r="AB168" s="145">
        <f t="shared" si="33"/>
        <v>0</v>
      </c>
      <c r="AC168" s="146">
        <f t="shared" si="34"/>
        <v>0</v>
      </c>
    </row>
    <row r="169" spans="1:29" ht="26.25">
      <c r="A169" s="144">
        <v>163</v>
      </c>
      <c r="B169" s="160">
        <f>DATA!A164</f>
        <v>0</v>
      </c>
      <c r="C169" s="143">
        <f>DATA!B164</f>
        <v>0</v>
      </c>
      <c r="D169" s="132">
        <f>DATA!C164</f>
        <v>0</v>
      </c>
      <c r="E169" s="147"/>
      <c r="F169" s="147"/>
      <c r="G169" s="122"/>
      <c r="H169" s="122"/>
      <c r="I169" s="122"/>
      <c r="J169" s="122"/>
      <c r="K169" s="122"/>
      <c r="L169" s="126">
        <f t="shared" si="28"/>
        <v>0</v>
      </c>
      <c r="M169" s="122"/>
      <c r="N169" s="122"/>
      <c r="O169" s="122"/>
      <c r="P169" s="133">
        <f t="shared" si="29"/>
        <v>0</v>
      </c>
      <c r="Q169" s="122"/>
      <c r="R169" s="122"/>
      <c r="S169" s="122"/>
      <c r="T169" s="122"/>
      <c r="U169" s="134">
        <f t="shared" si="30"/>
        <v>0</v>
      </c>
      <c r="V169" s="122"/>
      <c r="W169" s="122"/>
      <c r="X169" s="122"/>
      <c r="Y169" s="122"/>
      <c r="Z169" s="122"/>
      <c r="AA169" s="122"/>
      <c r="AB169" s="145">
        <f t="shared" si="33"/>
        <v>0</v>
      </c>
      <c r="AC169" s="146">
        <f t="shared" si="34"/>
        <v>0</v>
      </c>
    </row>
    <row r="170" spans="1:29" ht="26.25">
      <c r="A170" s="144">
        <v>164</v>
      </c>
      <c r="B170" s="160">
        <f>DATA!A165</f>
        <v>0</v>
      </c>
      <c r="C170" s="143">
        <f>DATA!B165</f>
        <v>0</v>
      </c>
      <c r="D170" s="132">
        <f>DATA!C165</f>
        <v>0</v>
      </c>
      <c r="E170" s="147"/>
      <c r="F170" s="147"/>
      <c r="G170" s="122"/>
      <c r="H170" s="122"/>
      <c r="I170" s="122"/>
      <c r="J170" s="122"/>
      <c r="K170" s="122"/>
      <c r="L170" s="126">
        <f t="shared" si="28"/>
        <v>0</v>
      </c>
      <c r="M170" s="122"/>
      <c r="N170" s="122"/>
      <c r="O170" s="122"/>
      <c r="P170" s="133">
        <f t="shared" si="29"/>
        <v>0</v>
      </c>
      <c r="Q170" s="122"/>
      <c r="R170" s="122"/>
      <c r="S170" s="122"/>
      <c r="T170" s="122"/>
      <c r="U170" s="134">
        <f t="shared" si="30"/>
        <v>0</v>
      </c>
      <c r="V170" s="122"/>
      <c r="W170" s="122"/>
      <c r="X170" s="122"/>
      <c r="Y170" s="122"/>
      <c r="Z170" s="122"/>
      <c r="AA170" s="122"/>
      <c r="AB170" s="145">
        <f t="shared" si="33"/>
        <v>0</v>
      </c>
      <c r="AC170" s="146">
        <f t="shared" si="34"/>
        <v>0</v>
      </c>
    </row>
    <row r="171" spans="1:29" ht="26.25">
      <c r="A171" s="144">
        <v>165</v>
      </c>
      <c r="B171" s="160">
        <f>DATA!A166</f>
        <v>0</v>
      </c>
      <c r="C171" s="143">
        <f>DATA!B166</f>
        <v>0</v>
      </c>
      <c r="D171" s="132">
        <f>DATA!C166</f>
        <v>0</v>
      </c>
      <c r="E171" s="147"/>
      <c r="F171" s="147"/>
      <c r="G171" s="122"/>
      <c r="H171" s="122"/>
      <c r="I171" s="122"/>
      <c r="J171" s="122"/>
      <c r="K171" s="122"/>
      <c r="L171" s="126">
        <f t="shared" si="28"/>
        <v>0</v>
      </c>
      <c r="M171" s="122"/>
      <c r="N171" s="122"/>
      <c r="O171" s="122"/>
      <c r="P171" s="133">
        <f t="shared" si="29"/>
        <v>0</v>
      </c>
      <c r="Q171" s="122"/>
      <c r="R171" s="122"/>
      <c r="S171" s="122"/>
      <c r="T171" s="122"/>
      <c r="U171" s="134">
        <f t="shared" si="30"/>
        <v>0</v>
      </c>
      <c r="V171" s="122"/>
      <c r="W171" s="122"/>
      <c r="X171" s="122"/>
      <c r="Y171" s="122"/>
      <c r="Z171" s="122"/>
      <c r="AA171" s="122"/>
      <c r="AB171" s="145">
        <f t="shared" si="33"/>
        <v>0</v>
      </c>
      <c r="AC171" s="146">
        <f t="shared" si="34"/>
        <v>0</v>
      </c>
    </row>
    <row r="172" spans="1:29" ht="26.25">
      <c r="A172" s="144">
        <v>166</v>
      </c>
      <c r="B172" s="160">
        <f>DATA!A167</f>
        <v>0</v>
      </c>
      <c r="C172" s="143">
        <f>DATA!B167</f>
        <v>0</v>
      </c>
      <c r="D172" s="132">
        <f>DATA!C167</f>
        <v>0</v>
      </c>
      <c r="E172" s="147"/>
      <c r="F172" s="147"/>
      <c r="G172" s="122"/>
      <c r="H172" s="122"/>
      <c r="I172" s="122"/>
      <c r="J172" s="122"/>
      <c r="K172" s="122"/>
      <c r="L172" s="126">
        <f t="shared" si="28"/>
        <v>0</v>
      </c>
      <c r="M172" s="122"/>
      <c r="N172" s="122"/>
      <c r="O172" s="122"/>
      <c r="P172" s="133">
        <f t="shared" si="29"/>
        <v>0</v>
      </c>
      <c r="Q172" s="122"/>
      <c r="R172" s="122"/>
      <c r="S172" s="122"/>
      <c r="T172" s="122"/>
      <c r="U172" s="134">
        <f t="shared" si="30"/>
        <v>0</v>
      </c>
      <c r="V172" s="122"/>
      <c r="W172" s="122"/>
      <c r="X172" s="122"/>
      <c r="Y172" s="122"/>
      <c r="Z172" s="122"/>
      <c r="AA172" s="122"/>
      <c r="AB172" s="145">
        <f t="shared" si="33"/>
        <v>0</v>
      </c>
      <c r="AC172" s="146">
        <f t="shared" si="34"/>
        <v>0</v>
      </c>
    </row>
    <row r="173" spans="1:29" ht="26.25">
      <c r="A173" s="144">
        <v>167</v>
      </c>
      <c r="B173" s="160">
        <f>DATA!A168</f>
        <v>0</v>
      </c>
      <c r="C173" s="143">
        <f>DATA!B168</f>
        <v>0</v>
      </c>
      <c r="D173" s="132">
        <f>DATA!C168</f>
        <v>0</v>
      </c>
      <c r="E173" s="147"/>
      <c r="F173" s="147"/>
      <c r="G173" s="122"/>
      <c r="H173" s="122"/>
      <c r="I173" s="122"/>
      <c r="J173" s="122"/>
      <c r="K173" s="122"/>
      <c r="L173" s="126">
        <f t="shared" si="28"/>
        <v>0</v>
      </c>
      <c r="M173" s="122"/>
      <c r="N173" s="122"/>
      <c r="O173" s="122"/>
      <c r="P173" s="133">
        <f t="shared" si="29"/>
        <v>0</v>
      </c>
      <c r="Q173" s="122"/>
      <c r="R173" s="122"/>
      <c r="S173" s="122"/>
      <c r="T173" s="122"/>
      <c r="U173" s="134">
        <f t="shared" si="30"/>
        <v>0</v>
      </c>
      <c r="V173" s="122"/>
      <c r="W173" s="122"/>
      <c r="X173" s="122"/>
      <c r="Y173" s="122"/>
      <c r="Z173" s="122"/>
      <c r="AA173" s="122"/>
      <c r="AB173" s="145">
        <f t="shared" si="33"/>
        <v>0</v>
      </c>
      <c r="AC173" s="146">
        <f t="shared" si="34"/>
        <v>0</v>
      </c>
    </row>
    <row r="174" spans="1:29" ht="26.25">
      <c r="A174" s="144">
        <v>168</v>
      </c>
      <c r="B174" s="160">
        <f>DATA!A169</f>
        <v>0</v>
      </c>
      <c r="C174" s="143">
        <f>DATA!B169</f>
        <v>0</v>
      </c>
      <c r="D174" s="132">
        <f>DATA!C169</f>
        <v>0</v>
      </c>
      <c r="E174" s="147"/>
      <c r="F174" s="147"/>
      <c r="G174" s="122"/>
      <c r="H174" s="122"/>
      <c r="I174" s="122"/>
      <c r="J174" s="122"/>
      <c r="K174" s="122"/>
      <c r="L174" s="126">
        <f t="shared" si="28"/>
        <v>0</v>
      </c>
      <c r="M174" s="122"/>
      <c r="N174" s="122"/>
      <c r="O174" s="122"/>
      <c r="P174" s="133">
        <f t="shared" si="29"/>
        <v>0</v>
      </c>
      <c r="Q174" s="122"/>
      <c r="R174" s="122"/>
      <c r="S174" s="122"/>
      <c r="T174" s="122"/>
      <c r="U174" s="134">
        <f t="shared" si="30"/>
        <v>0</v>
      </c>
      <c r="V174" s="122"/>
      <c r="W174" s="122"/>
      <c r="X174" s="122"/>
      <c r="Y174" s="122"/>
      <c r="Z174" s="122"/>
      <c r="AA174" s="122"/>
      <c r="AB174" s="145">
        <f t="shared" si="33"/>
        <v>0</v>
      </c>
      <c r="AC174" s="146">
        <f t="shared" si="34"/>
        <v>0</v>
      </c>
    </row>
    <row r="175" spans="1:29" ht="26.25">
      <c r="A175" s="144">
        <v>169</v>
      </c>
      <c r="B175" s="160">
        <f>DATA!A170</f>
        <v>0</v>
      </c>
      <c r="C175" s="143">
        <f>DATA!B170</f>
        <v>0</v>
      </c>
      <c r="D175" s="132">
        <f>DATA!C170</f>
        <v>0</v>
      </c>
      <c r="E175" s="147"/>
      <c r="F175" s="147"/>
      <c r="G175" s="122"/>
      <c r="H175" s="122"/>
      <c r="I175" s="122"/>
      <c r="J175" s="122"/>
      <c r="K175" s="122"/>
      <c r="L175" s="126">
        <f t="shared" si="28"/>
        <v>0</v>
      </c>
      <c r="M175" s="122"/>
      <c r="N175" s="122"/>
      <c r="O175" s="122"/>
      <c r="P175" s="133">
        <f t="shared" si="29"/>
        <v>0</v>
      </c>
      <c r="Q175" s="122"/>
      <c r="R175" s="122"/>
      <c r="S175" s="122"/>
      <c r="T175" s="122"/>
      <c r="U175" s="134">
        <f t="shared" si="30"/>
        <v>0</v>
      </c>
      <c r="V175" s="122"/>
      <c r="W175" s="122"/>
      <c r="X175" s="122"/>
      <c r="Y175" s="122"/>
      <c r="Z175" s="122"/>
      <c r="AA175" s="122"/>
      <c r="AB175" s="145">
        <f t="shared" si="33"/>
        <v>0</v>
      </c>
      <c r="AC175" s="146">
        <f t="shared" si="34"/>
        <v>0</v>
      </c>
    </row>
    <row r="176" spans="1:29" ht="26.25">
      <c r="A176" s="144">
        <v>170</v>
      </c>
      <c r="B176" s="160">
        <f>DATA!A171</f>
        <v>0</v>
      </c>
      <c r="C176" s="143">
        <f>DATA!B171</f>
        <v>0</v>
      </c>
      <c r="D176" s="132">
        <f>DATA!C171</f>
        <v>0</v>
      </c>
      <c r="E176" s="147"/>
      <c r="F176" s="147"/>
      <c r="G176" s="122"/>
      <c r="H176" s="122"/>
      <c r="I176" s="122"/>
      <c r="J176" s="122"/>
      <c r="K176" s="122"/>
      <c r="L176" s="126">
        <f t="shared" si="28"/>
        <v>0</v>
      </c>
      <c r="M176" s="122"/>
      <c r="N176" s="122"/>
      <c r="O176" s="122"/>
      <c r="P176" s="133">
        <f t="shared" si="29"/>
        <v>0</v>
      </c>
      <c r="Q176" s="122"/>
      <c r="R176" s="122"/>
      <c r="S176" s="122"/>
      <c r="T176" s="122"/>
      <c r="U176" s="134">
        <f t="shared" si="30"/>
        <v>0</v>
      </c>
      <c r="V176" s="122"/>
      <c r="W176" s="122"/>
      <c r="X176" s="122"/>
      <c r="Y176" s="122"/>
      <c r="Z176" s="122"/>
      <c r="AA176" s="122"/>
      <c r="AB176" s="145">
        <f t="shared" si="33"/>
        <v>0</v>
      </c>
      <c r="AC176" s="146">
        <f t="shared" si="34"/>
        <v>0</v>
      </c>
    </row>
    <row r="177" spans="1:29" ht="26.25">
      <c r="A177" s="144">
        <v>171</v>
      </c>
      <c r="B177" s="160">
        <f>DATA!A172</f>
        <v>0</v>
      </c>
      <c r="C177" s="143">
        <f>DATA!B172</f>
        <v>0</v>
      </c>
      <c r="D177" s="132">
        <f>DATA!C172</f>
        <v>0</v>
      </c>
      <c r="E177" s="147"/>
      <c r="F177" s="147"/>
      <c r="G177" s="122"/>
      <c r="H177" s="122"/>
      <c r="I177" s="122"/>
      <c r="J177" s="122"/>
      <c r="K177" s="122"/>
      <c r="L177" s="126">
        <f t="shared" si="28"/>
        <v>0</v>
      </c>
      <c r="M177" s="122"/>
      <c r="N177" s="122"/>
      <c r="O177" s="122"/>
      <c r="P177" s="133">
        <f t="shared" si="29"/>
        <v>0</v>
      </c>
      <c r="Q177" s="122"/>
      <c r="R177" s="122"/>
      <c r="S177" s="122"/>
      <c r="T177" s="122"/>
      <c r="U177" s="134">
        <f t="shared" si="30"/>
        <v>0</v>
      </c>
      <c r="V177" s="122"/>
      <c r="W177" s="122"/>
      <c r="X177" s="122"/>
      <c r="Y177" s="122"/>
      <c r="Z177" s="122"/>
      <c r="AA177" s="122"/>
      <c r="AB177" s="145">
        <f t="shared" si="33"/>
        <v>0</v>
      </c>
      <c r="AC177" s="146">
        <f t="shared" si="34"/>
        <v>0</v>
      </c>
    </row>
    <row r="178" spans="1:29" ht="26.25">
      <c r="A178" s="144">
        <v>172</v>
      </c>
      <c r="B178" s="160">
        <f>DATA!A173</f>
        <v>0</v>
      </c>
      <c r="C178" s="143">
        <f>DATA!B173</f>
        <v>0</v>
      </c>
      <c r="D178" s="132">
        <f>DATA!C173</f>
        <v>0</v>
      </c>
      <c r="E178" s="147"/>
      <c r="F178" s="147"/>
      <c r="G178" s="122"/>
      <c r="H178" s="122"/>
      <c r="I178" s="122"/>
      <c r="J178" s="122"/>
      <c r="K178" s="122"/>
      <c r="L178" s="126">
        <f t="shared" si="28"/>
        <v>0</v>
      </c>
      <c r="M178" s="122"/>
      <c r="N178" s="122"/>
      <c r="O178" s="122"/>
      <c r="P178" s="133">
        <f t="shared" si="29"/>
        <v>0</v>
      </c>
      <c r="Q178" s="122"/>
      <c r="R178" s="122"/>
      <c r="S178" s="122"/>
      <c r="T178" s="122"/>
      <c r="U178" s="134">
        <f t="shared" si="30"/>
        <v>0</v>
      </c>
      <c r="V178" s="122"/>
      <c r="W178" s="122"/>
      <c r="X178" s="122"/>
      <c r="Y178" s="122"/>
      <c r="Z178" s="122"/>
      <c r="AA178" s="122"/>
      <c r="AB178" s="145">
        <f t="shared" si="33"/>
        <v>0</v>
      </c>
      <c r="AC178" s="146">
        <f t="shared" si="34"/>
        <v>0</v>
      </c>
    </row>
    <row r="179" spans="1:29" ht="26.25">
      <c r="A179" s="144">
        <v>173</v>
      </c>
      <c r="B179" s="160">
        <f>DATA!A174</f>
        <v>0</v>
      </c>
      <c r="C179" s="143">
        <f>DATA!B174</f>
        <v>0</v>
      </c>
      <c r="D179" s="132">
        <f>DATA!C174</f>
        <v>0</v>
      </c>
      <c r="E179" s="147"/>
      <c r="F179" s="147"/>
      <c r="G179" s="122"/>
      <c r="H179" s="122"/>
      <c r="I179" s="122"/>
      <c r="J179" s="122"/>
      <c r="K179" s="122"/>
      <c r="L179" s="126">
        <f t="shared" si="28"/>
        <v>0</v>
      </c>
      <c r="M179" s="122"/>
      <c r="N179" s="122"/>
      <c r="O179" s="122"/>
      <c r="P179" s="133">
        <f t="shared" si="29"/>
        <v>0</v>
      </c>
      <c r="Q179" s="122"/>
      <c r="R179" s="122"/>
      <c r="S179" s="122"/>
      <c r="T179" s="122"/>
      <c r="U179" s="134">
        <f t="shared" si="30"/>
        <v>0</v>
      </c>
      <c r="V179" s="122"/>
      <c r="W179" s="122"/>
      <c r="X179" s="122"/>
      <c r="Y179" s="122"/>
      <c r="Z179" s="122"/>
      <c r="AA179" s="122"/>
      <c r="AB179" s="145">
        <f t="shared" si="33"/>
        <v>0</v>
      </c>
      <c r="AC179" s="146">
        <f t="shared" si="34"/>
        <v>0</v>
      </c>
    </row>
    <row r="180" spans="1:29" ht="26.25">
      <c r="A180" s="144">
        <v>174</v>
      </c>
      <c r="B180" s="160">
        <f>DATA!A175</f>
        <v>0</v>
      </c>
      <c r="C180" s="143">
        <f>DATA!B175</f>
        <v>0</v>
      </c>
      <c r="D180" s="132">
        <f>DATA!C175</f>
        <v>0</v>
      </c>
      <c r="E180" s="147"/>
      <c r="F180" s="147"/>
      <c r="G180" s="122"/>
      <c r="H180" s="122"/>
      <c r="I180" s="122"/>
      <c r="J180" s="122"/>
      <c r="K180" s="122"/>
      <c r="L180" s="126">
        <f t="shared" ref="L180:L205" si="35">SUM(E180:K180)</f>
        <v>0</v>
      </c>
      <c r="M180" s="122"/>
      <c r="N180" s="122"/>
      <c r="O180" s="122"/>
      <c r="P180" s="133">
        <f t="shared" ref="P180:P205" si="36">SUM(M180:O180)</f>
        <v>0</v>
      </c>
      <c r="Q180" s="122"/>
      <c r="R180" s="122"/>
      <c r="S180" s="122"/>
      <c r="T180" s="122"/>
      <c r="U180" s="134">
        <f t="shared" ref="U180:U205" si="37">SUM(Q180:T180)</f>
        <v>0</v>
      </c>
      <c r="V180" s="122"/>
      <c r="W180" s="122"/>
      <c r="X180" s="122"/>
      <c r="Y180" s="122"/>
      <c r="Z180" s="122"/>
      <c r="AA180" s="122"/>
      <c r="AB180" s="145">
        <f t="shared" si="33"/>
        <v>0</v>
      </c>
      <c r="AC180" s="146">
        <f t="shared" si="34"/>
        <v>0</v>
      </c>
    </row>
    <row r="181" spans="1:29" ht="26.25">
      <c r="A181" s="144">
        <v>175</v>
      </c>
      <c r="B181" s="160">
        <f>DATA!A176</f>
        <v>0</v>
      </c>
      <c r="C181" s="143">
        <f>DATA!B176</f>
        <v>0</v>
      </c>
      <c r="D181" s="132">
        <f>DATA!C176</f>
        <v>0</v>
      </c>
      <c r="E181" s="147"/>
      <c r="F181" s="147"/>
      <c r="G181" s="122"/>
      <c r="H181" s="122"/>
      <c r="I181" s="122"/>
      <c r="J181" s="122"/>
      <c r="K181" s="122"/>
      <c r="L181" s="126">
        <f t="shared" si="35"/>
        <v>0</v>
      </c>
      <c r="M181" s="122"/>
      <c r="N181" s="122"/>
      <c r="O181" s="122"/>
      <c r="P181" s="133">
        <f t="shared" si="36"/>
        <v>0</v>
      </c>
      <c r="Q181" s="122"/>
      <c r="R181" s="122"/>
      <c r="S181" s="122"/>
      <c r="T181" s="122"/>
      <c r="U181" s="134">
        <f t="shared" si="37"/>
        <v>0</v>
      </c>
      <c r="V181" s="122"/>
      <c r="W181" s="122"/>
      <c r="X181" s="122"/>
      <c r="Y181" s="122"/>
      <c r="Z181" s="122"/>
      <c r="AA181" s="122"/>
      <c r="AB181" s="145">
        <f t="shared" ref="AB181:AB205" si="38">SUM(V181:AA181)</f>
        <v>0</v>
      </c>
      <c r="AC181" s="146">
        <f t="shared" ref="AC181:AC205" si="39">L181+P181+U181+AB181</f>
        <v>0</v>
      </c>
    </row>
    <row r="182" spans="1:29" ht="26.25">
      <c r="A182" s="144">
        <v>176</v>
      </c>
      <c r="B182" s="160">
        <f>DATA!A177</f>
        <v>0</v>
      </c>
      <c r="C182" s="143">
        <f>DATA!B177</f>
        <v>0</v>
      </c>
      <c r="D182" s="132">
        <f>DATA!C177</f>
        <v>0</v>
      </c>
      <c r="E182" s="147"/>
      <c r="F182" s="147"/>
      <c r="G182" s="122"/>
      <c r="H182" s="122"/>
      <c r="I182" s="122"/>
      <c r="J182" s="122"/>
      <c r="K182" s="122"/>
      <c r="L182" s="126">
        <f t="shared" si="35"/>
        <v>0</v>
      </c>
      <c r="M182" s="122"/>
      <c r="N182" s="122"/>
      <c r="O182" s="122"/>
      <c r="P182" s="133">
        <f t="shared" si="36"/>
        <v>0</v>
      </c>
      <c r="Q182" s="122"/>
      <c r="R182" s="122"/>
      <c r="S182" s="122"/>
      <c r="T182" s="122"/>
      <c r="U182" s="134">
        <f t="shared" si="37"/>
        <v>0</v>
      </c>
      <c r="V182" s="122"/>
      <c r="W182" s="122"/>
      <c r="X182" s="122"/>
      <c r="Y182" s="122"/>
      <c r="Z182" s="122"/>
      <c r="AA182" s="122"/>
      <c r="AB182" s="145">
        <f t="shared" si="38"/>
        <v>0</v>
      </c>
      <c r="AC182" s="146">
        <f t="shared" si="39"/>
        <v>0</v>
      </c>
    </row>
    <row r="183" spans="1:29" ht="26.25">
      <c r="A183" s="144">
        <v>177</v>
      </c>
      <c r="B183" s="160">
        <f>DATA!A178</f>
        <v>0</v>
      </c>
      <c r="C183" s="143">
        <f>DATA!B178</f>
        <v>0</v>
      </c>
      <c r="D183" s="132">
        <f>DATA!C178</f>
        <v>0</v>
      </c>
      <c r="E183" s="147"/>
      <c r="F183" s="147"/>
      <c r="G183" s="122"/>
      <c r="H183" s="122"/>
      <c r="I183" s="122"/>
      <c r="J183" s="122"/>
      <c r="K183" s="122"/>
      <c r="L183" s="126">
        <f t="shared" si="35"/>
        <v>0</v>
      </c>
      <c r="M183" s="122"/>
      <c r="N183" s="122"/>
      <c r="O183" s="122"/>
      <c r="P183" s="133">
        <f t="shared" si="36"/>
        <v>0</v>
      </c>
      <c r="Q183" s="122"/>
      <c r="R183" s="122"/>
      <c r="S183" s="122"/>
      <c r="T183" s="122"/>
      <c r="U183" s="134">
        <f t="shared" si="37"/>
        <v>0</v>
      </c>
      <c r="V183" s="122"/>
      <c r="W183" s="122"/>
      <c r="X183" s="122"/>
      <c r="Y183" s="122"/>
      <c r="Z183" s="122"/>
      <c r="AA183" s="122"/>
      <c r="AB183" s="145">
        <f t="shared" si="38"/>
        <v>0</v>
      </c>
      <c r="AC183" s="146">
        <f t="shared" si="39"/>
        <v>0</v>
      </c>
    </row>
    <row r="184" spans="1:29" ht="26.25">
      <c r="A184" s="144">
        <v>178</v>
      </c>
      <c r="B184" s="160">
        <f>DATA!A179</f>
        <v>0</v>
      </c>
      <c r="C184" s="143">
        <f>DATA!B179</f>
        <v>0</v>
      </c>
      <c r="D184" s="132">
        <f>DATA!C179</f>
        <v>0</v>
      </c>
      <c r="E184" s="147"/>
      <c r="F184" s="147"/>
      <c r="G184" s="122"/>
      <c r="H184" s="122"/>
      <c r="I184" s="122"/>
      <c r="J184" s="122"/>
      <c r="K184" s="122"/>
      <c r="L184" s="126">
        <f t="shared" si="35"/>
        <v>0</v>
      </c>
      <c r="M184" s="122"/>
      <c r="N184" s="122"/>
      <c r="O184" s="122"/>
      <c r="P184" s="133">
        <f t="shared" si="36"/>
        <v>0</v>
      </c>
      <c r="Q184" s="122"/>
      <c r="R184" s="122"/>
      <c r="S184" s="122"/>
      <c r="T184" s="122"/>
      <c r="U184" s="134">
        <f t="shared" si="37"/>
        <v>0</v>
      </c>
      <c r="V184" s="122"/>
      <c r="W184" s="122"/>
      <c r="X184" s="122"/>
      <c r="Y184" s="122"/>
      <c r="Z184" s="122"/>
      <c r="AA184" s="122"/>
      <c r="AB184" s="145">
        <f t="shared" si="38"/>
        <v>0</v>
      </c>
      <c r="AC184" s="146">
        <f t="shared" si="39"/>
        <v>0</v>
      </c>
    </row>
    <row r="185" spans="1:29" ht="26.25">
      <c r="A185" s="144">
        <v>179</v>
      </c>
      <c r="B185" s="160">
        <f>DATA!A180</f>
        <v>0</v>
      </c>
      <c r="C185" s="143">
        <f>DATA!B180</f>
        <v>0</v>
      </c>
      <c r="D185" s="132">
        <f>DATA!C180</f>
        <v>0</v>
      </c>
      <c r="E185" s="147"/>
      <c r="F185" s="147"/>
      <c r="G185" s="122"/>
      <c r="H185" s="122"/>
      <c r="I185" s="122"/>
      <c r="J185" s="122"/>
      <c r="K185" s="122"/>
      <c r="L185" s="126">
        <f t="shared" si="35"/>
        <v>0</v>
      </c>
      <c r="M185" s="122"/>
      <c r="N185" s="122"/>
      <c r="O185" s="122"/>
      <c r="P185" s="133">
        <f t="shared" si="36"/>
        <v>0</v>
      </c>
      <c r="Q185" s="122"/>
      <c r="R185" s="122"/>
      <c r="S185" s="122"/>
      <c r="T185" s="122"/>
      <c r="U185" s="134">
        <f t="shared" si="37"/>
        <v>0</v>
      </c>
      <c r="V185" s="122"/>
      <c r="W185" s="122"/>
      <c r="X185" s="122"/>
      <c r="Y185" s="122"/>
      <c r="Z185" s="122"/>
      <c r="AA185" s="122"/>
      <c r="AB185" s="145">
        <f t="shared" si="38"/>
        <v>0</v>
      </c>
      <c r="AC185" s="146">
        <f t="shared" si="39"/>
        <v>0</v>
      </c>
    </row>
    <row r="186" spans="1:29" ht="26.25">
      <c r="A186" s="144">
        <v>180</v>
      </c>
      <c r="B186" s="160">
        <f>DATA!A181</f>
        <v>0</v>
      </c>
      <c r="C186" s="143">
        <f>DATA!B181</f>
        <v>0</v>
      </c>
      <c r="D186" s="132">
        <f>DATA!C181</f>
        <v>0</v>
      </c>
      <c r="E186" s="147"/>
      <c r="F186" s="147"/>
      <c r="G186" s="122"/>
      <c r="H186" s="122"/>
      <c r="I186" s="122"/>
      <c r="J186" s="122"/>
      <c r="K186" s="122"/>
      <c r="L186" s="126">
        <f t="shared" si="35"/>
        <v>0</v>
      </c>
      <c r="M186" s="122"/>
      <c r="N186" s="122"/>
      <c r="O186" s="122"/>
      <c r="P186" s="133">
        <f t="shared" si="36"/>
        <v>0</v>
      </c>
      <c r="Q186" s="122"/>
      <c r="R186" s="122"/>
      <c r="S186" s="122"/>
      <c r="T186" s="122"/>
      <c r="U186" s="134">
        <f t="shared" si="37"/>
        <v>0</v>
      </c>
      <c r="V186" s="122"/>
      <c r="W186" s="122"/>
      <c r="X186" s="122"/>
      <c r="Y186" s="122"/>
      <c r="Z186" s="122"/>
      <c r="AA186" s="122"/>
      <c r="AB186" s="145">
        <f t="shared" si="38"/>
        <v>0</v>
      </c>
      <c r="AC186" s="146">
        <f t="shared" si="39"/>
        <v>0</v>
      </c>
    </row>
    <row r="187" spans="1:29" ht="26.25">
      <c r="A187" s="144">
        <v>181</v>
      </c>
      <c r="B187" s="160">
        <f>DATA!A182</f>
        <v>0</v>
      </c>
      <c r="C187" s="143">
        <f>DATA!B182</f>
        <v>0</v>
      </c>
      <c r="D187" s="132">
        <f>DATA!C182</f>
        <v>0</v>
      </c>
      <c r="E187" s="147"/>
      <c r="F187" s="147"/>
      <c r="G187" s="122"/>
      <c r="H187" s="122"/>
      <c r="I187" s="122"/>
      <c r="J187" s="122"/>
      <c r="K187" s="122"/>
      <c r="L187" s="126">
        <f t="shared" si="35"/>
        <v>0</v>
      </c>
      <c r="M187" s="122"/>
      <c r="N187" s="122"/>
      <c r="O187" s="122"/>
      <c r="P187" s="133">
        <f t="shared" si="36"/>
        <v>0</v>
      </c>
      <c r="Q187" s="122"/>
      <c r="R187" s="122"/>
      <c r="S187" s="122"/>
      <c r="T187" s="122"/>
      <c r="U187" s="134">
        <f t="shared" si="37"/>
        <v>0</v>
      </c>
      <c r="V187" s="122"/>
      <c r="W187" s="122"/>
      <c r="X187" s="122"/>
      <c r="Y187" s="122"/>
      <c r="Z187" s="122"/>
      <c r="AA187" s="122"/>
      <c r="AB187" s="145">
        <f t="shared" si="38"/>
        <v>0</v>
      </c>
      <c r="AC187" s="146">
        <f t="shared" si="39"/>
        <v>0</v>
      </c>
    </row>
    <row r="188" spans="1:29" ht="26.25">
      <c r="A188" s="144">
        <v>182</v>
      </c>
      <c r="B188" s="160">
        <f>DATA!A183</f>
        <v>0</v>
      </c>
      <c r="C188" s="143">
        <f>DATA!B183</f>
        <v>0</v>
      </c>
      <c r="D188" s="132">
        <f>DATA!C183</f>
        <v>0</v>
      </c>
      <c r="E188" s="147"/>
      <c r="F188" s="147"/>
      <c r="G188" s="122"/>
      <c r="H188" s="122"/>
      <c r="I188" s="122"/>
      <c r="J188" s="122"/>
      <c r="K188" s="122"/>
      <c r="L188" s="126">
        <f t="shared" si="35"/>
        <v>0</v>
      </c>
      <c r="M188" s="122"/>
      <c r="N188" s="122"/>
      <c r="O188" s="122"/>
      <c r="P188" s="133">
        <f t="shared" si="36"/>
        <v>0</v>
      </c>
      <c r="Q188" s="122"/>
      <c r="R188" s="122"/>
      <c r="S188" s="122"/>
      <c r="T188" s="122"/>
      <c r="U188" s="134">
        <f t="shared" si="37"/>
        <v>0</v>
      </c>
      <c r="V188" s="122"/>
      <c r="W188" s="122"/>
      <c r="X188" s="122"/>
      <c r="Y188" s="122"/>
      <c r="Z188" s="122"/>
      <c r="AA188" s="122"/>
      <c r="AB188" s="145">
        <f t="shared" si="38"/>
        <v>0</v>
      </c>
      <c r="AC188" s="146">
        <f t="shared" si="39"/>
        <v>0</v>
      </c>
    </row>
    <row r="189" spans="1:29" ht="26.25">
      <c r="A189" s="144">
        <v>183</v>
      </c>
      <c r="B189" s="160">
        <f>DATA!A184</f>
        <v>0</v>
      </c>
      <c r="C189" s="143">
        <f>DATA!B184</f>
        <v>0</v>
      </c>
      <c r="D189" s="132">
        <f>DATA!C184</f>
        <v>0</v>
      </c>
      <c r="E189" s="147"/>
      <c r="F189" s="147"/>
      <c r="G189" s="122"/>
      <c r="H189" s="122"/>
      <c r="I189" s="122"/>
      <c r="J189" s="122"/>
      <c r="K189" s="122"/>
      <c r="L189" s="126">
        <f t="shared" si="35"/>
        <v>0</v>
      </c>
      <c r="M189" s="122"/>
      <c r="N189" s="122"/>
      <c r="O189" s="122"/>
      <c r="P189" s="133">
        <f t="shared" si="36"/>
        <v>0</v>
      </c>
      <c r="Q189" s="122"/>
      <c r="R189" s="122"/>
      <c r="S189" s="122"/>
      <c r="T189" s="122"/>
      <c r="U189" s="134">
        <f t="shared" si="37"/>
        <v>0</v>
      </c>
      <c r="V189" s="122"/>
      <c r="W189" s="122"/>
      <c r="X189" s="122"/>
      <c r="Y189" s="122"/>
      <c r="Z189" s="122"/>
      <c r="AA189" s="122"/>
      <c r="AB189" s="145">
        <f t="shared" si="38"/>
        <v>0</v>
      </c>
      <c r="AC189" s="146">
        <f t="shared" si="39"/>
        <v>0</v>
      </c>
    </row>
    <row r="190" spans="1:29" ht="26.25">
      <c r="A190" s="144">
        <v>184</v>
      </c>
      <c r="B190" s="160">
        <f>DATA!A185</f>
        <v>0</v>
      </c>
      <c r="C190" s="143">
        <f>DATA!B185</f>
        <v>0</v>
      </c>
      <c r="D190" s="132">
        <f>DATA!C185</f>
        <v>0</v>
      </c>
      <c r="E190" s="147"/>
      <c r="F190" s="147"/>
      <c r="G190" s="122"/>
      <c r="H190" s="122"/>
      <c r="I190" s="122"/>
      <c r="J190" s="122"/>
      <c r="K190" s="122"/>
      <c r="L190" s="126">
        <f t="shared" si="35"/>
        <v>0</v>
      </c>
      <c r="M190" s="122"/>
      <c r="N190" s="122"/>
      <c r="O190" s="122"/>
      <c r="P190" s="133">
        <f t="shared" si="36"/>
        <v>0</v>
      </c>
      <c r="Q190" s="122"/>
      <c r="R190" s="122"/>
      <c r="S190" s="122"/>
      <c r="T190" s="122"/>
      <c r="U190" s="134">
        <f t="shared" si="37"/>
        <v>0</v>
      </c>
      <c r="V190" s="122"/>
      <c r="W190" s="122"/>
      <c r="X190" s="122"/>
      <c r="Y190" s="122"/>
      <c r="Z190" s="122"/>
      <c r="AA190" s="122"/>
      <c r="AB190" s="145">
        <f t="shared" si="38"/>
        <v>0</v>
      </c>
      <c r="AC190" s="146">
        <f t="shared" si="39"/>
        <v>0</v>
      </c>
    </row>
    <row r="191" spans="1:29" ht="26.25">
      <c r="A191" s="144">
        <v>185</v>
      </c>
      <c r="B191" s="160">
        <f>DATA!A186</f>
        <v>0</v>
      </c>
      <c r="C191" s="143">
        <f>DATA!B186</f>
        <v>0</v>
      </c>
      <c r="D191" s="132">
        <f>DATA!C186</f>
        <v>0</v>
      </c>
      <c r="E191" s="147"/>
      <c r="F191" s="147"/>
      <c r="G191" s="122"/>
      <c r="H191" s="122"/>
      <c r="I191" s="122"/>
      <c r="J191" s="122"/>
      <c r="K191" s="122"/>
      <c r="L191" s="126">
        <f t="shared" si="35"/>
        <v>0</v>
      </c>
      <c r="M191" s="122"/>
      <c r="N191" s="122"/>
      <c r="O191" s="122"/>
      <c r="P191" s="133">
        <f t="shared" si="36"/>
        <v>0</v>
      </c>
      <c r="Q191" s="122"/>
      <c r="R191" s="122"/>
      <c r="S191" s="122"/>
      <c r="T191" s="122"/>
      <c r="U191" s="134">
        <f t="shared" si="37"/>
        <v>0</v>
      </c>
      <c r="V191" s="122"/>
      <c r="W191" s="122"/>
      <c r="X191" s="122"/>
      <c r="Y191" s="122"/>
      <c r="Z191" s="122"/>
      <c r="AA191" s="122"/>
      <c r="AB191" s="145">
        <f t="shared" si="38"/>
        <v>0</v>
      </c>
      <c r="AC191" s="146">
        <f t="shared" si="39"/>
        <v>0</v>
      </c>
    </row>
    <row r="192" spans="1:29" ht="26.25">
      <c r="A192" s="144">
        <v>186</v>
      </c>
      <c r="B192" s="160">
        <f>DATA!A187</f>
        <v>0</v>
      </c>
      <c r="C192" s="143">
        <f>DATA!B187</f>
        <v>0</v>
      </c>
      <c r="D192" s="132">
        <f>DATA!C187</f>
        <v>0</v>
      </c>
      <c r="E192" s="147"/>
      <c r="F192" s="147"/>
      <c r="G192" s="122"/>
      <c r="H192" s="122"/>
      <c r="I192" s="122"/>
      <c r="J192" s="122"/>
      <c r="K192" s="122"/>
      <c r="L192" s="126">
        <f t="shared" si="35"/>
        <v>0</v>
      </c>
      <c r="M192" s="122"/>
      <c r="N192" s="122"/>
      <c r="O192" s="122"/>
      <c r="P192" s="133">
        <f t="shared" si="36"/>
        <v>0</v>
      </c>
      <c r="Q192" s="122"/>
      <c r="R192" s="122"/>
      <c r="S192" s="122"/>
      <c r="T192" s="122"/>
      <c r="U192" s="134">
        <f t="shared" si="37"/>
        <v>0</v>
      </c>
      <c r="V192" s="122"/>
      <c r="W192" s="122"/>
      <c r="X192" s="122"/>
      <c r="Y192" s="122"/>
      <c r="Z192" s="122"/>
      <c r="AA192" s="122"/>
      <c r="AB192" s="145">
        <f t="shared" si="38"/>
        <v>0</v>
      </c>
      <c r="AC192" s="146">
        <f t="shared" si="39"/>
        <v>0</v>
      </c>
    </row>
    <row r="193" spans="1:29" ht="26.25">
      <c r="A193" s="144">
        <v>187</v>
      </c>
      <c r="B193" s="160">
        <f>DATA!A188</f>
        <v>0</v>
      </c>
      <c r="C193" s="143">
        <f>DATA!B188</f>
        <v>0</v>
      </c>
      <c r="D193" s="132">
        <f>DATA!C188</f>
        <v>0</v>
      </c>
      <c r="E193" s="147"/>
      <c r="F193" s="147"/>
      <c r="G193" s="122"/>
      <c r="H193" s="122"/>
      <c r="I193" s="122"/>
      <c r="J193" s="122"/>
      <c r="K193" s="122"/>
      <c r="L193" s="126">
        <f t="shared" si="35"/>
        <v>0</v>
      </c>
      <c r="M193" s="122"/>
      <c r="N193" s="122"/>
      <c r="O193" s="122"/>
      <c r="P193" s="133">
        <f t="shared" si="36"/>
        <v>0</v>
      </c>
      <c r="Q193" s="122"/>
      <c r="R193" s="122"/>
      <c r="S193" s="122"/>
      <c r="T193" s="122"/>
      <c r="U193" s="134">
        <f t="shared" si="37"/>
        <v>0</v>
      </c>
      <c r="V193" s="122"/>
      <c r="W193" s="122"/>
      <c r="X193" s="122"/>
      <c r="Y193" s="122"/>
      <c r="Z193" s="122"/>
      <c r="AA193" s="122"/>
      <c r="AB193" s="145">
        <f t="shared" si="38"/>
        <v>0</v>
      </c>
      <c r="AC193" s="146">
        <f t="shared" si="39"/>
        <v>0</v>
      </c>
    </row>
    <row r="194" spans="1:29" ht="26.25">
      <c r="A194" s="144">
        <v>188</v>
      </c>
      <c r="B194" s="160">
        <f>DATA!A189</f>
        <v>0</v>
      </c>
      <c r="C194" s="143">
        <f>DATA!B189</f>
        <v>0</v>
      </c>
      <c r="D194" s="132">
        <f>DATA!C189</f>
        <v>0</v>
      </c>
      <c r="E194" s="147"/>
      <c r="F194" s="147"/>
      <c r="G194" s="122"/>
      <c r="H194" s="122"/>
      <c r="I194" s="122"/>
      <c r="J194" s="122"/>
      <c r="K194" s="122"/>
      <c r="L194" s="126">
        <f t="shared" si="35"/>
        <v>0</v>
      </c>
      <c r="M194" s="122"/>
      <c r="N194" s="122"/>
      <c r="O194" s="122"/>
      <c r="P194" s="133">
        <f t="shared" si="36"/>
        <v>0</v>
      </c>
      <c r="Q194" s="122"/>
      <c r="R194" s="122"/>
      <c r="S194" s="122"/>
      <c r="T194" s="122"/>
      <c r="U194" s="134">
        <f t="shared" si="37"/>
        <v>0</v>
      </c>
      <c r="V194" s="122"/>
      <c r="W194" s="122"/>
      <c r="X194" s="122"/>
      <c r="Y194" s="122"/>
      <c r="Z194" s="122"/>
      <c r="AA194" s="122"/>
      <c r="AB194" s="145">
        <f t="shared" si="38"/>
        <v>0</v>
      </c>
      <c r="AC194" s="146">
        <f t="shared" si="39"/>
        <v>0</v>
      </c>
    </row>
    <row r="195" spans="1:29" ht="26.25">
      <c r="A195" s="144">
        <v>189</v>
      </c>
      <c r="B195" s="160">
        <f>DATA!A190</f>
        <v>0</v>
      </c>
      <c r="C195" s="143">
        <f>DATA!B190</f>
        <v>0</v>
      </c>
      <c r="D195" s="132">
        <f>DATA!C190</f>
        <v>0</v>
      </c>
      <c r="E195" s="147"/>
      <c r="F195" s="147"/>
      <c r="G195" s="122"/>
      <c r="H195" s="122"/>
      <c r="I195" s="122"/>
      <c r="J195" s="122"/>
      <c r="K195" s="122"/>
      <c r="L195" s="126">
        <f t="shared" si="35"/>
        <v>0</v>
      </c>
      <c r="M195" s="122"/>
      <c r="N195" s="122"/>
      <c r="O195" s="122"/>
      <c r="P195" s="133">
        <f t="shared" si="36"/>
        <v>0</v>
      </c>
      <c r="Q195" s="122"/>
      <c r="R195" s="122"/>
      <c r="S195" s="122"/>
      <c r="T195" s="122"/>
      <c r="U195" s="134">
        <f t="shared" si="37"/>
        <v>0</v>
      </c>
      <c r="V195" s="122"/>
      <c r="W195" s="122"/>
      <c r="X195" s="122"/>
      <c r="Y195" s="122"/>
      <c r="Z195" s="122"/>
      <c r="AA195" s="122"/>
      <c r="AB195" s="145">
        <f t="shared" si="38"/>
        <v>0</v>
      </c>
      <c r="AC195" s="146">
        <f t="shared" si="39"/>
        <v>0</v>
      </c>
    </row>
    <row r="196" spans="1:29" ht="26.25">
      <c r="A196" s="144">
        <v>190</v>
      </c>
      <c r="B196" s="160">
        <f>DATA!A191</f>
        <v>0</v>
      </c>
      <c r="C196" s="143">
        <f>DATA!B191</f>
        <v>0</v>
      </c>
      <c r="D196" s="132">
        <f>DATA!C191</f>
        <v>0</v>
      </c>
      <c r="E196" s="147"/>
      <c r="F196" s="147"/>
      <c r="G196" s="122"/>
      <c r="H196" s="122"/>
      <c r="I196" s="122"/>
      <c r="J196" s="122"/>
      <c r="K196" s="122"/>
      <c r="L196" s="126">
        <f t="shared" si="35"/>
        <v>0</v>
      </c>
      <c r="M196" s="122"/>
      <c r="N196" s="122"/>
      <c r="O196" s="122"/>
      <c r="P196" s="133">
        <f t="shared" si="36"/>
        <v>0</v>
      </c>
      <c r="Q196" s="122"/>
      <c r="R196" s="122"/>
      <c r="S196" s="122"/>
      <c r="T196" s="122"/>
      <c r="U196" s="134">
        <f t="shared" si="37"/>
        <v>0</v>
      </c>
      <c r="V196" s="122"/>
      <c r="W196" s="122"/>
      <c r="X196" s="122"/>
      <c r="Y196" s="122"/>
      <c r="Z196" s="122"/>
      <c r="AA196" s="122"/>
      <c r="AB196" s="145">
        <f t="shared" si="38"/>
        <v>0</v>
      </c>
      <c r="AC196" s="146">
        <f t="shared" si="39"/>
        <v>0</v>
      </c>
    </row>
    <row r="197" spans="1:29" ht="26.25">
      <c r="A197" s="144">
        <v>191</v>
      </c>
      <c r="B197" s="160">
        <f>DATA!A192</f>
        <v>0</v>
      </c>
      <c r="C197" s="143">
        <f>DATA!B192</f>
        <v>0</v>
      </c>
      <c r="D197" s="132">
        <f>DATA!C192</f>
        <v>0</v>
      </c>
      <c r="E197" s="147"/>
      <c r="F197" s="147"/>
      <c r="G197" s="122"/>
      <c r="H197" s="122"/>
      <c r="I197" s="122"/>
      <c r="J197" s="122"/>
      <c r="K197" s="122"/>
      <c r="L197" s="126">
        <f t="shared" si="35"/>
        <v>0</v>
      </c>
      <c r="M197" s="122"/>
      <c r="N197" s="122"/>
      <c r="O197" s="122"/>
      <c r="P197" s="133">
        <f t="shared" si="36"/>
        <v>0</v>
      </c>
      <c r="Q197" s="122"/>
      <c r="R197" s="122"/>
      <c r="S197" s="122"/>
      <c r="T197" s="122"/>
      <c r="U197" s="134">
        <f t="shared" si="37"/>
        <v>0</v>
      </c>
      <c r="V197" s="122"/>
      <c r="W197" s="122"/>
      <c r="X197" s="122"/>
      <c r="Y197" s="122"/>
      <c r="Z197" s="122"/>
      <c r="AA197" s="122"/>
      <c r="AB197" s="145">
        <f t="shared" si="38"/>
        <v>0</v>
      </c>
      <c r="AC197" s="146">
        <f t="shared" si="39"/>
        <v>0</v>
      </c>
    </row>
    <row r="198" spans="1:29" ht="26.25">
      <c r="A198" s="144">
        <v>192</v>
      </c>
      <c r="B198" s="160">
        <f>DATA!A193</f>
        <v>0</v>
      </c>
      <c r="C198" s="143">
        <f>DATA!B193</f>
        <v>0</v>
      </c>
      <c r="D198" s="132">
        <f>DATA!C193</f>
        <v>0</v>
      </c>
      <c r="E198" s="147"/>
      <c r="F198" s="147"/>
      <c r="G198" s="122"/>
      <c r="H198" s="122"/>
      <c r="I198" s="122"/>
      <c r="J198" s="122"/>
      <c r="K198" s="122"/>
      <c r="L198" s="126">
        <f t="shared" si="35"/>
        <v>0</v>
      </c>
      <c r="M198" s="122"/>
      <c r="N198" s="122"/>
      <c r="O198" s="122"/>
      <c r="P198" s="133">
        <f t="shared" si="36"/>
        <v>0</v>
      </c>
      <c r="Q198" s="122"/>
      <c r="R198" s="122"/>
      <c r="S198" s="122"/>
      <c r="T198" s="122"/>
      <c r="U198" s="134">
        <f t="shared" si="37"/>
        <v>0</v>
      </c>
      <c r="V198" s="122"/>
      <c r="W198" s="122"/>
      <c r="X198" s="122"/>
      <c r="Y198" s="122"/>
      <c r="Z198" s="122"/>
      <c r="AA198" s="122"/>
      <c r="AB198" s="145">
        <f t="shared" si="38"/>
        <v>0</v>
      </c>
      <c r="AC198" s="146">
        <f t="shared" si="39"/>
        <v>0</v>
      </c>
    </row>
    <row r="199" spans="1:29" ht="26.25">
      <c r="A199" s="144">
        <v>193</v>
      </c>
      <c r="B199" s="160">
        <f>DATA!A194</f>
        <v>0</v>
      </c>
      <c r="C199" s="143">
        <f>DATA!B194</f>
        <v>0</v>
      </c>
      <c r="D199" s="132">
        <f>DATA!C194</f>
        <v>0</v>
      </c>
      <c r="E199" s="147"/>
      <c r="F199" s="147"/>
      <c r="G199" s="122"/>
      <c r="H199" s="122"/>
      <c r="I199" s="122"/>
      <c r="J199" s="122"/>
      <c r="K199" s="122"/>
      <c r="L199" s="126">
        <f t="shared" si="35"/>
        <v>0</v>
      </c>
      <c r="M199" s="122"/>
      <c r="N199" s="122"/>
      <c r="O199" s="122"/>
      <c r="P199" s="133">
        <f t="shared" si="36"/>
        <v>0</v>
      </c>
      <c r="Q199" s="122"/>
      <c r="R199" s="122"/>
      <c r="S199" s="122"/>
      <c r="T199" s="122"/>
      <c r="U199" s="134">
        <f t="shared" si="37"/>
        <v>0</v>
      </c>
      <c r="V199" s="122"/>
      <c r="W199" s="122"/>
      <c r="X199" s="122"/>
      <c r="Y199" s="122"/>
      <c r="Z199" s="122"/>
      <c r="AA199" s="122"/>
      <c r="AB199" s="145">
        <f t="shared" si="38"/>
        <v>0</v>
      </c>
      <c r="AC199" s="146">
        <f t="shared" si="39"/>
        <v>0</v>
      </c>
    </row>
    <row r="200" spans="1:29" ht="26.25">
      <c r="A200" s="144">
        <v>194</v>
      </c>
      <c r="B200" s="160">
        <f>DATA!A195</f>
        <v>0</v>
      </c>
      <c r="C200" s="143">
        <f>DATA!B195</f>
        <v>0</v>
      </c>
      <c r="D200" s="132">
        <f>DATA!C195</f>
        <v>0</v>
      </c>
      <c r="E200" s="147"/>
      <c r="F200" s="147"/>
      <c r="G200" s="122"/>
      <c r="H200" s="122"/>
      <c r="I200" s="122"/>
      <c r="J200" s="122"/>
      <c r="K200" s="122"/>
      <c r="L200" s="126">
        <f t="shared" si="35"/>
        <v>0</v>
      </c>
      <c r="M200" s="122"/>
      <c r="N200" s="122"/>
      <c r="O200" s="122"/>
      <c r="P200" s="133">
        <f t="shared" si="36"/>
        <v>0</v>
      </c>
      <c r="Q200" s="122"/>
      <c r="R200" s="122"/>
      <c r="S200" s="122"/>
      <c r="T200" s="122"/>
      <c r="U200" s="134">
        <f t="shared" si="37"/>
        <v>0</v>
      </c>
      <c r="V200" s="122"/>
      <c r="W200" s="122"/>
      <c r="X200" s="122"/>
      <c r="Y200" s="122"/>
      <c r="Z200" s="122"/>
      <c r="AA200" s="122"/>
      <c r="AB200" s="145">
        <f t="shared" si="38"/>
        <v>0</v>
      </c>
      <c r="AC200" s="146">
        <f t="shared" si="39"/>
        <v>0</v>
      </c>
    </row>
    <row r="201" spans="1:29" ht="26.25">
      <c r="A201" s="144">
        <v>195</v>
      </c>
      <c r="B201" s="160">
        <f>DATA!A196</f>
        <v>0</v>
      </c>
      <c r="C201" s="143">
        <f>DATA!B196</f>
        <v>0</v>
      </c>
      <c r="D201" s="132">
        <f>DATA!C196</f>
        <v>0</v>
      </c>
      <c r="E201" s="147"/>
      <c r="F201" s="147"/>
      <c r="G201" s="122"/>
      <c r="H201" s="122"/>
      <c r="I201" s="122"/>
      <c r="J201" s="122"/>
      <c r="K201" s="122"/>
      <c r="L201" s="126">
        <f t="shared" si="35"/>
        <v>0</v>
      </c>
      <c r="M201" s="122"/>
      <c r="N201" s="122"/>
      <c r="O201" s="122"/>
      <c r="P201" s="133">
        <f t="shared" si="36"/>
        <v>0</v>
      </c>
      <c r="Q201" s="122"/>
      <c r="R201" s="122"/>
      <c r="S201" s="122"/>
      <c r="T201" s="122"/>
      <c r="U201" s="134">
        <f t="shared" si="37"/>
        <v>0</v>
      </c>
      <c r="V201" s="122"/>
      <c r="W201" s="122"/>
      <c r="X201" s="122"/>
      <c r="Y201" s="122"/>
      <c r="Z201" s="122"/>
      <c r="AA201" s="122"/>
      <c r="AB201" s="145">
        <f t="shared" si="38"/>
        <v>0</v>
      </c>
      <c r="AC201" s="146">
        <f t="shared" si="39"/>
        <v>0</v>
      </c>
    </row>
    <row r="202" spans="1:29" ht="26.25">
      <c r="A202" s="144">
        <v>196</v>
      </c>
      <c r="B202" s="160">
        <f>DATA!A197</f>
        <v>0</v>
      </c>
      <c r="C202" s="143">
        <f>DATA!B197</f>
        <v>0</v>
      </c>
      <c r="D202" s="132">
        <f>DATA!C197</f>
        <v>0</v>
      </c>
      <c r="E202" s="147"/>
      <c r="F202" s="147"/>
      <c r="G202" s="122"/>
      <c r="H202" s="122"/>
      <c r="I202" s="122"/>
      <c r="J202" s="122"/>
      <c r="K202" s="122"/>
      <c r="L202" s="126">
        <f t="shared" si="35"/>
        <v>0</v>
      </c>
      <c r="M202" s="122"/>
      <c r="N202" s="122"/>
      <c r="O202" s="122"/>
      <c r="P202" s="133">
        <f t="shared" si="36"/>
        <v>0</v>
      </c>
      <c r="Q202" s="122"/>
      <c r="R202" s="122"/>
      <c r="S202" s="122"/>
      <c r="T202" s="122"/>
      <c r="U202" s="134">
        <f t="shared" si="37"/>
        <v>0</v>
      </c>
      <c r="V202" s="122"/>
      <c r="W202" s="122"/>
      <c r="X202" s="122"/>
      <c r="Y202" s="122"/>
      <c r="Z202" s="122"/>
      <c r="AA202" s="122"/>
      <c r="AB202" s="145">
        <f t="shared" si="38"/>
        <v>0</v>
      </c>
      <c r="AC202" s="146">
        <f t="shared" si="39"/>
        <v>0</v>
      </c>
    </row>
    <row r="203" spans="1:29" ht="26.25">
      <c r="A203" s="144">
        <v>197</v>
      </c>
      <c r="B203" s="160">
        <f>DATA!A198</f>
        <v>0</v>
      </c>
      <c r="C203" s="143">
        <f>DATA!B198</f>
        <v>0</v>
      </c>
      <c r="D203" s="132">
        <f>DATA!C198</f>
        <v>0</v>
      </c>
      <c r="E203" s="147"/>
      <c r="F203" s="147"/>
      <c r="G203" s="122"/>
      <c r="H203" s="122"/>
      <c r="I203" s="122"/>
      <c r="J203" s="122"/>
      <c r="K203" s="122"/>
      <c r="L203" s="126">
        <f t="shared" si="35"/>
        <v>0</v>
      </c>
      <c r="M203" s="122"/>
      <c r="N203" s="122"/>
      <c r="O203" s="122"/>
      <c r="P203" s="133">
        <f t="shared" si="36"/>
        <v>0</v>
      </c>
      <c r="Q203" s="122"/>
      <c r="R203" s="122"/>
      <c r="S203" s="122"/>
      <c r="T203" s="122"/>
      <c r="U203" s="134">
        <f t="shared" si="37"/>
        <v>0</v>
      </c>
      <c r="V203" s="122"/>
      <c r="W203" s="122"/>
      <c r="X203" s="122"/>
      <c r="Y203" s="122"/>
      <c r="Z203" s="122"/>
      <c r="AA203" s="122"/>
      <c r="AB203" s="145">
        <f t="shared" si="38"/>
        <v>0</v>
      </c>
      <c r="AC203" s="146">
        <f t="shared" si="39"/>
        <v>0</v>
      </c>
    </row>
    <row r="204" spans="1:29" ht="26.25">
      <c r="A204" s="144">
        <v>198</v>
      </c>
      <c r="B204" s="160">
        <f>DATA!A199</f>
        <v>0</v>
      </c>
      <c r="C204" s="143">
        <f>DATA!B199</f>
        <v>0</v>
      </c>
      <c r="D204" s="132">
        <f>DATA!C199</f>
        <v>0</v>
      </c>
      <c r="E204" s="147"/>
      <c r="F204" s="147"/>
      <c r="G204" s="122"/>
      <c r="H204" s="122"/>
      <c r="I204" s="122"/>
      <c r="J204" s="122"/>
      <c r="K204" s="122"/>
      <c r="L204" s="126">
        <f t="shared" si="35"/>
        <v>0</v>
      </c>
      <c r="M204" s="122"/>
      <c r="N204" s="122"/>
      <c r="O204" s="122"/>
      <c r="P204" s="133">
        <f t="shared" si="36"/>
        <v>0</v>
      </c>
      <c r="Q204" s="122"/>
      <c r="R204" s="122"/>
      <c r="S204" s="122"/>
      <c r="T204" s="122"/>
      <c r="U204" s="134">
        <f t="shared" si="37"/>
        <v>0</v>
      </c>
      <c r="V204" s="122"/>
      <c r="W204" s="122"/>
      <c r="X204" s="122"/>
      <c r="Y204" s="122"/>
      <c r="Z204" s="122"/>
      <c r="AA204" s="122"/>
      <c r="AB204" s="145">
        <f t="shared" si="38"/>
        <v>0</v>
      </c>
      <c r="AC204" s="146">
        <f t="shared" si="39"/>
        <v>0</v>
      </c>
    </row>
    <row r="205" spans="1:29" ht="26.25">
      <c r="A205" s="144">
        <v>199</v>
      </c>
      <c r="B205" s="160">
        <f>DATA!A200</f>
        <v>0</v>
      </c>
      <c r="C205" s="143">
        <f>DATA!B200</f>
        <v>0</v>
      </c>
      <c r="D205" s="132">
        <f>DATA!C200</f>
        <v>0</v>
      </c>
      <c r="E205" s="147"/>
      <c r="F205" s="147"/>
      <c r="G205" s="122"/>
      <c r="H205" s="122"/>
      <c r="I205" s="122"/>
      <c r="J205" s="122"/>
      <c r="K205" s="122"/>
      <c r="L205" s="126">
        <f t="shared" si="35"/>
        <v>0</v>
      </c>
      <c r="M205" s="122"/>
      <c r="N205" s="122"/>
      <c r="O205" s="122"/>
      <c r="P205" s="133">
        <f t="shared" si="36"/>
        <v>0</v>
      </c>
      <c r="Q205" s="122"/>
      <c r="R205" s="122"/>
      <c r="S205" s="122"/>
      <c r="T205" s="122"/>
      <c r="U205" s="134">
        <f t="shared" si="37"/>
        <v>0</v>
      </c>
      <c r="V205" s="122"/>
      <c r="W205" s="122"/>
      <c r="X205" s="122"/>
      <c r="Y205" s="122"/>
      <c r="Z205" s="122"/>
      <c r="AA205" s="122"/>
      <c r="AB205" s="145">
        <f t="shared" si="38"/>
        <v>0</v>
      </c>
      <c r="AC205" s="146">
        <f t="shared" si="39"/>
        <v>0</v>
      </c>
    </row>
  </sheetData>
  <mergeCells count="6">
    <mergeCell ref="V5:AB5"/>
    <mergeCell ref="AC5:AC6"/>
    <mergeCell ref="A1:K1"/>
    <mergeCell ref="E5:L5"/>
    <mergeCell ref="M5:P5"/>
    <mergeCell ref="Q5:U5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7" filterMode="1"/>
  <dimension ref="A1:AA122"/>
  <sheetViews>
    <sheetView topLeftCell="A2" workbookViewId="0">
      <selection activeCell="E1" sqref="E1"/>
    </sheetView>
  </sheetViews>
  <sheetFormatPr defaultRowHeight="15"/>
  <cols>
    <col min="1" max="1" width="31.5703125" bestFit="1" customWidth="1"/>
    <col min="3" max="3" width="9.140625" style="135"/>
    <col min="15" max="15" width="8.5703125" customWidth="1"/>
  </cols>
  <sheetData>
    <row r="1" spans="1:27" s="95" customFormat="1" ht="38.25" hidden="1">
      <c r="A1" s="106" t="s">
        <v>43</v>
      </c>
      <c r="B1" s="81" t="s">
        <v>16</v>
      </c>
      <c r="C1" s="105" t="s">
        <v>44</v>
      </c>
    </row>
    <row r="2" spans="1:27" s="95" customFormat="1" ht="15" customHeight="1">
      <c r="A2" s="104" t="s">
        <v>150</v>
      </c>
      <c r="B2" s="103" t="s">
        <v>45</v>
      </c>
      <c r="C2" s="112">
        <v>12500</v>
      </c>
      <c r="H2" s="192"/>
      <c r="I2" s="192"/>
      <c r="J2" s="192"/>
      <c r="K2" s="192"/>
      <c r="L2" s="192"/>
      <c r="M2" s="192"/>
      <c r="N2" s="192"/>
      <c r="O2" s="192"/>
      <c r="P2" s="192"/>
      <c r="Q2" s="192"/>
      <c r="R2" s="192"/>
      <c r="S2" s="192"/>
      <c r="T2" s="192"/>
      <c r="U2" s="192"/>
      <c r="V2" s="192"/>
      <c r="W2" s="192"/>
      <c r="X2" s="192"/>
      <c r="Y2" s="192"/>
      <c r="Z2" s="192"/>
      <c r="AA2" s="192"/>
    </row>
    <row r="3" spans="1:27" s="95" customFormat="1" ht="15" customHeight="1">
      <c r="A3" s="104" t="s">
        <v>151</v>
      </c>
      <c r="B3" s="102" t="s">
        <v>46</v>
      </c>
      <c r="C3" s="112">
        <v>23000</v>
      </c>
      <c r="H3" s="192"/>
      <c r="I3" s="192"/>
      <c r="J3" s="192"/>
      <c r="K3" s="192"/>
      <c r="L3" s="192"/>
      <c r="M3" s="192"/>
      <c r="N3" s="192"/>
      <c r="O3" s="192"/>
      <c r="P3" s="192"/>
      <c r="Q3" s="192"/>
      <c r="R3" s="192"/>
      <c r="S3" s="192"/>
      <c r="T3" s="192"/>
      <c r="U3" s="192"/>
      <c r="V3" s="192"/>
      <c r="W3" s="192"/>
      <c r="X3" s="192"/>
      <c r="Y3" s="192"/>
      <c r="Z3" s="192"/>
      <c r="AA3" s="192"/>
    </row>
    <row r="4" spans="1:27" s="95" customFormat="1" ht="15" customHeight="1">
      <c r="A4" s="104" t="s">
        <v>47</v>
      </c>
      <c r="B4" s="102" t="s">
        <v>46</v>
      </c>
      <c r="C4" s="112">
        <v>28000</v>
      </c>
      <c r="H4" s="192"/>
      <c r="I4" s="192"/>
      <c r="J4" s="192"/>
      <c r="K4" s="192"/>
      <c r="L4" s="192"/>
      <c r="M4" s="192"/>
      <c r="N4" s="192"/>
      <c r="O4" s="192"/>
      <c r="P4" s="192"/>
      <c r="Q4" s="192"/>
      <c r="R4" s="192"/>
      <c r="S4" s="192"/>
      <c r="T4" s="192"/>
      <c r="U4" s="192"/>
      <c r="V4" s="192"/>
      <c r="W4" s="192"/>
      <c r="X4" s="192"/>
      <c r="Y4" s="192"/>
      <c r="Z4" s="192"/>
      <c r="AA4" s="192"/>
    </row>
    <row r="5" spans="1:27" s="95" customFormat="1" ht="15" customHeight="1">
      <c r="A5" s="104" t="s">
        <v>152</v>
      </c>
      <c r="B5" s="102" t="s">
        <v>48</v>
      </c>
      <c r="C5" s="112">
        <v>30500</v>
      </c>
    </row>
    <row r="6" spans="1:27" s="95" customFormat="1" ht="15" customHeight="1">
      <c r="A6" s="104" t="s">
        <v>153</v>
      </c>
      <c r="B6" s="82" t="s">
        <v>21</v>
      </c>
      <c r="C6" s="112">
        <v>2000</v>
      </c>
    </row>
    <row r="7" spans="1:27" s="95" customFormat="1" ht="15" customHeight="1">
      <c r="A7" s="104" t="s">
        <v>154</v>
      </c>
      <c r="B7" s="82" t="s">
        <v>21</v>
      </c>
      <c r="C7" s="112">
        <v>10000</v>
      </c>
    </row>
    <row r="8" spans="1:27" s="95" customFormat="1" ht="15" customHeight="1">
      <c r="A8" s="104" t="s">
        <v>49</v>
      </c>
      <c r="B8" s="103" t="s">
        <v>21</v>
      </c>
      <c r="C8" s="112">
        <v>2900</v>
      </c>
    </row>
    <row r="9" spans="1:27" s="95" customFormat="1" ht="15" customHeight="1">
      <c r="A9" s="104" t="s">
        <v>50</v>
      </c>
      <c r="B9" s="107" t="s">
        <v>51</v>
      </c>
      <c r="C9" s="112">
        <v>1200</v>
      </c>
    </row>
    <row r="10" spans="1:27" s="95" customFormat="1" ht="15" customHeight="1">
      <c r="A10" s="104" t="s">
        <v>155</v>
      </c>
      <c r="B10" s="107" t="s">
        <v>51</v>
      </c>
      <c r="C10" s="112">
        <v>7900</v>
      </c>
    </row>
    <row r="11" spans="1:27" s="95" customFormat="1" ht="15" customHeight="1">
      <c r="A11" s="104" t="s">
        <v>156</v>
      </c>
      <c r="B11" s="102" t="s">
        <v>46</v>
      </c>
      <c r="C11" s="112">
        <v>1170</v>
      </c>
    </row>
    <row r="12" spans="1:27" s="95" customFormat="1" ht="15" customHeight="1">
      <c r="A12" s="104" t="s">
        <v>157</v>
      </c>
      <c r="B12" s="102" t="s">
        <v>48</v>
      </c>
      <c r="C12" s="112">
        <v>1170</v>
      </c>
    </row>
    <row r="13" spans="1:27" s="95" customFormat="1" ht="15" customHeight="1">
      <c r="A13" s="104" t="s">
        <v>158</v>
      </c>
      <c r="B13" s="82" t="s">
        <v>46</v>
      </c>
      <c r="C13" s="112">
        <v>9200</v>
      </c>
    </row>
    <row r="14" spans="1:27" s="95" customFormat="1" ht="15" customHeight="1">
      <c r="A14" s="104" t="s">
        <v>144</v>
      </c>
      <c r="B14" s="82" t="s">
        <v>46</v>
      </c>
      <c r="C14" s="112">
        <v>2950</v>
      </c>
    </row>
    <row r="15" spans="1:27" s="95" customFormat="1" ht="15" customHeight="1">
      <c r="A15" s="104" t="s">
        <v>145</v>
      </c>
      <c r="B15" s="102" t="s">
        <v>46</v>
      </c>
      <c r="C15" s="112">
        <v>3800</v>
      </c>
    </row>
    <row r="16" spans="1:27" s="95" customFormat="1" ht="15" customHeight="1">
      <c r="A16" s="104" t="s">
        <v>159</v>
      </c>
      <c r="B16" s="103" t="s">
        <v>48</v>
      </c>
      <c r="C16" s="112">
        <v>24500</v>
      </c>
    </row>
    <row r="17" spans="1:3" s="95" customFormat="1" ht="15" customHeight="1">
      <c r="A17" s="104" t="s">
        <v>160</v>
      </c>
      <c r="B17" s="103" t="s">
        <v>48</v>
      </c>
      <c r="C17" s="112">
        <v>21000</v>
      </c>
    </row>
    <row r="18" spans="1:3" s="95" customFormat="1" ht="15" customHeight="1">
      <c r="A18" s="104" t="s">
        <v>52</v>
      </c>
      <c r="B18" s="103" t="s">
        <v>48</v>
      </c>
      <c r="C18" s="112">
        <v>21500</v>
      </c>
    </row>
    <row r="19" spans="1:3" s="95" customFormat="1" ht="15" customHeight="1">
      <c r="A19" s="104" t="s">
        <v>146</v>
      </c>
      <c r="B19" s="103" t="s">
        <v>53</v>
      </c>
      <c r="C19" s="112">
        <v>1950</v>
      </c>
    </row>
    <row r="20" spans="1:3" s="95" customFormat="1" ht="15" customHeight="1">
      <c r="A20" s="104" t="s">
        <v>161</v>
      </c>
      <c r="B20" s="103" t="s">
        <v>53</v>
      </c>
      <c r="C20" s="112">
        <v>295</v>
      </c>
    </row>
    <row r="21" spans="1:3" s="95" customFormat="1" ht="15" customHeight="1">
      <c r="A21" s="104" t="s">
        <v>54</v>
      </c>
      <c r="B21" s="103" t="s">
        <v>48</v>
      </c>
      <c r="C21" s="112">
        <v>2600</v>
      </c>
    </row>
    <row r="22" spans="1:3" s="95" customFormat="1" ht="15" customHeight="1">
      <c r="A22" s="104" t="s">
        <v>147</v>
      </c>
      <c r="B22" s="103" t="s">
        <v>55</v>
      </c>
      <c r="C22" s="112">
        <v>43000</v>
      </c>
    </row>
    <row r="23" spans="1:3" s="95" customFormat="1" ht="15" customHeight="1">
      <c r="A23" s="104" t="s">
        <v>162</v>
      </c>
      <c r="B23" s="82" t="s">
        <v>46</v>
      </c>
      <c r="C23" s="112">
        <v>21000</v>
      </c>
    </row>
    <row r="24" spans="1:3" s="95" customFormat="1" ht="15" customHeight="1">
      <c r="A24" s="104" t="s">
        <v>163</v>
      </c>
      <c r="B24" s="103" t="s">
        <v>46</v>
      </c>
      <c r="C24" s="112">
        <v>12300</v>
      </c>
    </row>
    <row r="25" spans="1:3" s="95" customFormat="1" ht="15" customHeight="1">
      <c r="A25" s="104" t="s">
        <v>56</v>
      </c>
      <c r="B25" s="103" t="s">
        <v>57</v>
      </c>
      <c r="C25" s="112">
        <v>14000</v>
      </c>
    </row>
    <row r="26" spans="1:3" s="95" customFormat="1" ht="15" customHeight="1">
      <c r="A26" s="104" t="s">
        <v>58</v>
      </c>
      <c r="B26" s="103" t="s">
        <v>59</v>
      </c>
      <c r="C26" s="112">
        <v>32000</v>
      </c>
    </row>
    <row r="27" spans="1:3" s="95" customFormat="1" ht="15" customHeight="1">
      <c r="A27" s="104" t="s">
        <v>164</v>
      </c>
      <c r="B27" s="103" t="s">
        <v>48</v>
      </c>
      <c r="C27" s="112">
        <v>4000</v>
      </c>
    </row>
    <row r="28" spans="1:3" s="95" customFormat="1" ht="15" customHeight="1">
      <c r="A28" s="104" t="s">
        <v>165</v>
      </c>
      <c r="B28" s="103" t="s">
        <v>60</v>
      </c>
      <c r="C28" s="112">
        <v>3500</v>
      </c>
    </row>
    <row r="29" spans="1:3" s="95" customFormat="1" ht="15" customHeight="1">
      <c r="A29" s="104" t="s">
        <v>166</v>
      </c>
      <c r="B29" s="103" t="s">
        <v>57</v>
      </c>
      <c r="C29" s="112">
        <v>4500</v>
      </c>
    </row>
    <row r="30" spans="1:3" s="95" customFormat="1" ht="15" customHeight="1">
      <c r="A30" s="104" t="s">
        <v>167</v>
      </c>
      <c r="B30" s="103" t="s">
        <v>57</v>
      </c>
      <c r="C30" s="112">
        <v>9500</v>
      </c>
    </row>
    <row r="31" spans="1:3" s="95" customFormat="1" ht="15" customHeight="1">
      <c r="A31" s="104" t="s">
        <v>168</v>
      </c>
      <c r="B31" s="103" t="s">
        <v>57</v>
      </c>
      <c r="C31" s="112">
        <v>14000</v>
      </c>
    </row>
    <row r="32" spans="1:3" s="95" customFormat="1" ht="15" customHeight="1">
      <c r="A32" s="104" t="s">
        <v>169</v>
      </c>
      <c r="B32" s="103" t="s">
        <v>57</v>
      </c>
      <c r="C32" s="112">
        <v>20500</v>
      </c>
    </row>
    <row r="33" spans="1:3" s="95" customFormat="1" ht="15" customHeight="1">
      <c r="A33" s="104" t="s">
        <v>61</v>
      </c>
      <c r="B33" s="102" t="s">
        <v>62</v>
      </c>
      <c r="C33" s="112">
        <v>3000</v>
      </c>
    </row>
    <row r="34" spans="1:3" s="95" customFormat="1" ht="15" customHeight="1">
      <c r="A34" s="103" t="s">
        <v>63</v>
      </c>
      <c r="B34" s="102" t="s">
        <v>46</v>
      </c>
      <c r="C34" s="112">
        <v>10200</v>
      </c>
    </row>
    <row r="35" spans="1:3" s="95" customFormat="1" ht="15" customHeight="1">
      <c r="A35" s="104" t="s">
        <v>64</v>
      </c>
      <c r="B35" s="102" t="s">
        <v>51</v>
      </c>
      <c r="C35" s="112">
        <v>3000</v>
      </c>
    </row>
    <row r="36" spans="1:3" s="95" customFormat="1" ht="15" customHeight="1">
      <c r="A36" s="104" t="s">
        <v>218</v>
      </c>
      <c r="B36" s="102" t="s">
        <v>55</v>
      </c>
      <c r="C36" s="112">
        <v>4000</v>
      </c>
    </row>
    <row r="37" spans="1:3" s="95" customFormat="1" ht="15" customHeight="1">
      <c r="A37" s="104" t="s">
        <v>217</v>
      </c>
      <c r="B37" s="102" t="s">
        <v>55</v>
      </c>
      <c r="C37" s="112">
        <v>2800</v>
      </c>
    </row>
    <row r="38" spans="1:3" s="95" customFormat="1" ht="15" customHeight="1">
      <c r="A38" s="104" t="s">
        <v>219</v>
      </c>
      <c r="B38" s="102" t="s">
        <v>55</v>
      </c>
      <c r="C38" s="112">
        <v>4800</v>
      </c>
    </row>
    <row r="39" spans="1:3" s="95" customFormat="1" ht="15" customHeight="1">
      <c r="A39" s="104" t="s">
        <v>220</v>
      </c>
      <c r="B39" s="102" t="s">
        <v>55</v>
      </c>
      <c r="C39" s="112">
        <v>6300</v>
      </c>
    </row>
    <row r="40" spans="1:3" s="95" customFormat="1" ht="15" customHeight="1">
      <c r="A40" s="104" t="s">
        <v>221</v>
      </c>
      <c r="B40" s="102" t="s">
        <v>84</v>
      </c>
      <c r="C40" s="112">
        <v>3200</v>
      </c>
    </row>
    <row r="41" spans="1:3" s="95" customFormat="1" ht="15" customHeight="1">
      <c r="A41" s="104" t="s">
        <v>222</v>
      </c>
      <c r="B41" s="102" t="s">
        <v>84</v>
      </c>
      <c r="C41" s="112">
        <v>4000</v>
      </c>
    </row>
    <row r="42" spans="1:3" s="95" customFormat="1" ht="15" customHeight="1">
      <c r="A42" s="104" t="s">
        <v>65</v>
      </c>
      <c r="B42" s="102" t="s">
        <v>45</v>
      </c>
      <c r="C42" s="112">
        <v>2150</v>
      </c>
    </row>
    <row r="43" spans="1:3" s="95" customFormat="1" ht="15" customHeight="1">
      <c r="A43" s="104" t="s">
        <v>66</v>
      </c>
      <c r="B43" s="82" t="s">
        <v>57</v>
      </c>
      <c r="C43" s="112">
        <v>16200</v>
      </c>
    </row>
    <row r="44" spans="1:3" s="95" customFormat="1" ht="15" customHeight="1">
      <c r="A44" s="104" t="s">
        <v>67</v>
      </c>
      <c r="B44" s="82" t="s">
        <v>57</v>
      </c>
      <c r="C44" s="112">
        <v>7000</v>
      </c>
    </row>
    <row r="45" spans="1:3" s="95" customFormat="1" ht="15" customHeight="1">
      <c r="A45" s="104" t="s">
        <v>170</v>
      </c>
      <c r="B45" s="102" t="s">
        <v>68</v>
      </c>
      <c r="C45" s="112">
        <v>2500</v>
      </c>
    </row>
    <row r="46" spans="1:3" s="95" customFormat="1" ht="15" customHeight="1">
      <c r="A46" s="104" t="s">
        <v>148</v>
      </c>
      <c r="B46" s="82" t="s">
        <v>57</v>
      </c>
      <c r="C46" s="112">
        <v>12500</v>
      </c>
    </row>
    <row r="47" spans="1:3" s="95" customFormat="1" ht="15" customHeight="1">
      <c r="A47" s="104" t="s">
        <v>69</v>
      </c>
      <c r="B47" s="102" t="s">
        <v>48</v>
      </c>
      <c r="C47" s="112">
        <v>1250</v>
      </c>
    </row>
    <row r="48" spans="1:3" s="95" customFormat="1" ht="15" customHeight="1">
      <c r="A48" s="104" t="s">
        <v>171</v>
      </c>
      <c r="B48" s="102" t="s">
        <v>45</v>
      </c>
      <c r="C48" s="112">
        <v>2500</v>
      </c>
    </row>
    <row r="49" spans="1:3" s="95" customFormat="1" ht="15" customHeight="1">
      <c r="A49" s="104" t="s">
        <v>172</v>
      </c>
      <c r="B49" s="103" t="s">
        <v>48</v>
      </c>
      <c r="C49" s="112">
        <v>4000</v>
      </c>
    </row>
    <row r="50" spans="1:3" s="95" customFormat="1" ht="15" customHeight="1">
      <c r="A50" s="104" t="s">
        <v>173</v>
      </c>
      <c r="B50" s="102" t="s">
        <v>46</v>
      </c>
      <c r="C50" s="112">
        <v>99500</v>
      </c>
    </row>
    <row r="51" spans="1:3" s="95" customFormat="1" ht="15" customHeight="1">
      <c r="A51" s="104" t="s">
        <v>174</v>
      </c>
      <c r="B51" s="102" t="s">
        <v>46</v>
      </c>
      <c r="C51" s="116">
        <v>72000</v>
      </c>
    </row>
    <row r="52" spans="1:3" s="95" customFormat="1" ht="15" customHeight="1">
      <c r="A52" s="104" t="s">
        <v>175</v>
      </c>
      <c r="B52" s="82" t="s">
        <v>70</v>
      </c>
      <c r="C52" s="112">
        <v>2600</v>
      </c>
    </row>
    <row r="53" spans="1:3" s="95" customFormat="1" ht="15" customHeight="1">
      <c r="A53" s="104" t="s">
        <v>176</v>
      </c>
      <c r="B53" s="82" t="s">
        <v>70</v>
      </c>
      <c r="C53" s="112">
        <v>8100</v>
      </c>
    </row>
    <row r="54" spans="1:3" s="95" customFormat="1" ht="15" customHeight="1">
      <c r="A54" s="103" t="s">
        <v>71</v>
      </c>
      <c r="B54" s="82" t="s">
        <v>46</v>
      </c>
      <c r="C54" s="112">
        <v>200</v>
      </c>
    </row>
    <row r="55" spans="1:3" s="95" customFormat="1" ht="15" customHeight="1">
      <c r="A55" s="104" t="s">
        <v>149</v>
      </c>
      <c r="B55" s="102" t="s">
        <v>46</v>
      </c>
      <c r="C55" s="112">
        <v>75000</v>
      </c>
    </row>
    <row r="56" spans="1:3" s="95" customFormat="1" ht="15" customHeight="1">
      <c r="A56" s="104" t="s">
        <v>177</v>
      </c>
      <c r="B56" s="102" t="s">
        <v>70</v>
      </c>
      <c r="C56" s="112">
        <v>32000</v>
      </c>
    </row>
    <row r="57" spans="1:3" s="95" customFormat="1" ht="15" customHeight="1">
      <c r="A57" s="104" t="s">
        <v>178</v>
      </c>
      <c r="B57" s="102" t="s">
        <v>70</v>
      </c>
      <c r="C57" s="112">
        <v>32000</v>
      </c>
    </row>
    <row r="58" spans="1:3" s="95" customFormat="1" ht="15" customHeight="1">
      <c r="A58" s="104" t="s">
        <v>179</v>
      </c>
      <c r="B58" s="82" t="s">
        <v>72</v>
      </c>
      <c r="C58" s="112">
        <v>33000</v>
      </c>
    </row>
    <row r="59" spans="1:3" s="95" customFormat="1" ht="15" customHeight="1">
      <c r="A59" s="104" t="s">
        <v>73</v>
      </c>
      <c r="B59" s="102" t="s">
        <v>70</v>
      </c>
      <c r="C59" s="112">
        <v>14500</v>
      </c>
    </row>
    <row r="60" spans="1:3" s="95" customFormat="1" ht="15" customHeight="1">
      <c r="A60" s="104" t="s">
        <v>180</v>
      </c>
      <c r="B60" s="103" t="s">
        <v>70</v>
      </c>
      <c r="C60" s="112">
        <v>135000</v>
      </c>
    </row>
    <row r="61" spans="1:3" s="95" customFormat="1" ht="15" customHeight="1">
      <c r="A61" s="104" t="s">
        <v>74</v>
      </c>
      <c r="B61" s="103" t="s">
        <v>60</v>
      </c>
      <c r="C61" s="112">
        <v>22000</v>
      </c>
    </row>
    <row r="62" spans="1:3" s="95" customFormat="1" ht="15" customHeight="1">
      <c r="A62" s="104" t="s">
        <v>75</v>
      </c>
      <c r="B62" s="103" t="s">
        <v>76</v>
      </c>
      <c r="C62" s="112">
        <v>23000</v>
      </c>
    </row>
    <row r="63" spans="1:3" s="95" customFormat="1" ht="15" customHeight="1">
      <c r="A63" s="104" t="s">
        <v>77</v>
      </c>
      <c r="B63" s="108" t="s">
        <v>78</v>
      </c>
      <c r="C63" s="112">
        <v>1250</v>
      </c>
    </row>
    <row r="64" spans="1:3" s="95" customFormat="1" ht="15" customHeight="1">
      <c r="A64" s="104" t="s">
        <v>79</v>
      </c>
      <c r="B64" s="103" t="s">
        <v>45</v>
      </c>
      <c r="C64" s="112">
        <v>6900</v>
      </c>
    </row>
    <row r="65" spans="1:3" s="95" customFormat="1" ht="15" customHeight="1">
      <c r="A65" s="104" t="s">
        <v>80</v>
      </c>
      <c r="B65" s="103" t="s">
        <v>45</v>
      </c>
      <c r="C65" s="112">
        <v>12500</v>
      </c>
    </row>
    <row r="66" spans="1:3" s="95" customFormat="1" ht="15" customHeight="1">
      <c r="A66" s="104" t="s">
        <v>181</v>
      </c>
      <c r="B66" s="102" t="s">
        <v>70</v>
      </c>
      <c r="C66" s="112">
        <v>4800</v>
      </c>
    </row>
    <row r="67" spans="1:3" s="95" customFormat="1" ht="15" customHeight="1">
      <c r="A67" s="104" t="s">
        <v>182</v>
      </c>
      <c r="B67" s="102" t="s">
        <v>81</v>
      </c>
      <c r="C67" s="112">
        <v>26500</v>
      </c>
    </row>
    <row r="68" spans="1:3" s="95" customFormat="1" ht="15" customHeight="1">
      <c r="A68" s="104" t="s">
        <v>223</v>
      </c>
      <c r="B68" s="102" t="s">
        <v>81</v>
      </c>
      <c r="C68" s="112">
        <v>38000</v>
      </c>
    </row>
    <row r="69" spans="1:3" s="95" customFormat="1" ht="15" customHeight="1">
      <c r="A69" s="104" t="s">
        <v>82</v>
      </c>
      <c r="B69" s="102" t="s">
        <v>81</v>
      </c>
      <c r="C69" s="112">
        <v>27500</v>
      </c>
    </row>
    <row r="70" spans="1:3" s="95" customFormat="1" ht="15" customHeight="1">
      <c r="A70" s="104" t="s">
        <v>213</v>
      </c>
      <c r="B70" s="103" t="s">
        <v>83</v>
      </c>
      <c r="C70" s="112">
        <v>2500</v>
      </c>
    </row>
    <row r="71" spans="1:3" s="95" customFormat="1" ht="15" customHeight="1">
      <c r="A71" s="104" t="s">
        <v>214</v>
      </c>
      <c r="B71" s="103" t="s">
        <v>83</v>
      </c>
      <c r="C71" s="112">
        <v>8000</v>
      </c>
    </row>
    <row r="72" spans="1:3" s="95" customFormat="1" ht="15" customHeight="1">
      <c r="A72" s="104" t="s">
        <v>183</v>
      </c>
      <c r="B72" s="109" t="s">
        <v>57</v>
      </c>
      <c r="C72" s="112">
        <v>22000</v>
      </c>
    </row>
    <row r="73" spans="1:3" s="95" customFormat="1" ht="15" customHeight="1">
      <c r="A73" s="104" t="s">
        <v>184</v>
      </c>
      <c r="B73" s="109" t="s">
        <v>57</v>
      </c>
      <c r="C73" s="112">
        <v>22000</v>
      </c>
    </row>
    <row r="74" spans="1:3" s="95" customFormat="1" ht="15" customHeight="1">
      <c r="A74" s="104" t="s">
        <v>185</v>
      </c>
      <c r="B74" s="82" t="s">
        <v>57</v>
      </c>
      <c r="C74" s="112">
        <v>21000</v>
      </c>
    </row>
    <row r="75" spans="1:3" s="95" customFormat="1" ht="15" customHeight="1">
      <c r="A75" s="104" t="s">
        <v>186</v>
      </c>
      <c r="B75" s="82" t="s">
        <v>57</v>
      </c>
      <c r="C75" s="112">
        <v>21000</v>
      </c>
    </row>
    <row r="76" spans="1:3" s="95" customFormat="1" ht="15" customHeight="1">
      <c r="A76" s="104" t="s">
        <v>187</v>
      </c>
      <c r="B76" s="82" t="s">
        <v>57</v>
      </c>
      <c r="C76" s="112">
        <v>18500</v>
      </c>
    </row>
    <row r="77" spans="1:3" s="95" customFormat="1" ht="15" customHeight="1">
      <c r="A77" s="104" t="s">
        <v>188</v>
      </c>
      <c r="B77" s="82" t="s">
        <v>57</v>
      </c>
      <c r="C77" s="112">
        <v>18500</v>
      </c>
    </row>
    <row r="78" spans="1:3" s="95" customFormat="1" ht="15" customHeight="1">
      <c r="A78" s="104" t="s">
        <v>189</v>
      </c>
      <c r="B78" s="102" t="s">
        <v>57</v>
      </c>
      <c r="C78" s="112">
        <v>1900</v>
      </c>
    </row>
    <row r="79" spans="1:3" s="95" customFormat="1" ht="15" customHeight="1">
      <c r="A79" s="104" t="s">
        <v>190</v>
      </c>
      <c r="B79" s="102" t="s">
        <v>57</v>
      </c>
      <c r="C79" s="112">
        <v>1900</v>
      </c>
    </row>
    <row r="80" spans="1:3" s="95" customFormat="1" ht="15" customHeight="1">
      <c r="A80" s="104" t="s">
        <v>191</v>
      </c>
      <c r="B80" s="82" t="s">
        <v>57</v>
      </c>
      <c r="C80" s="112">
        <v>3400</v>
      </c>
    </row>
    <row r="81" spans="1:3" s="95" customFormat="1" ht="15" customHeight="1">
      <c r="A81" s="104" t="s">
        <v>85</v>
      </c>
      <c r="B81" s="103" t="s">
        <v>57</v>
      </c>
      <c r="C81" s="112">
        <v>18500</v>
      </c>
    </row>
    <row r="82" spans="1:3" s="95" customFormat="1" ht="15" customHeight="1">
      <c r="A82" s="104" t="s">
        <v>86</v>
      </c>
      <c r="B82" s="103" t="s">
        <v>57</v>
      </c>
      <c r="C82" s="112">
        <v>18500</v>
      </c>
    </row>
    <row r="83" spans="1:3" s="95" customFormat="1" ht="15" customHeight="1">
      <c r="A83" s="104" t="s">
        <v>87</v>
      </c>
      <c r="B83" s="103" t="s">
        <v>59</v>
      </c>
      <c r="C83" s="112">
        <v>5000</v>
      </c>
    </row>
    <row r="84" spans="1:3" s="95" customFormat="1" ht="15" customHeight="1">
      <c r="A84" s="104" t="s">
        <v>88</v>
      </c>
      <c r="B84" s="103" t="s">
        <v>59</v>
      </c>
      <c r="C84" s="112">
        <v>5000</v>
      </c>
    </row>
    <row r="85" spans="1:3" s="95" customFormat="1" ht="15" customHeight="1">
      <c r="A85" s="104" t="s">
        <v>89</v>
      </c>
      <c r="B85" s="102" t="s">
        <v>90</v>
      </c>
      <c r="C85" s="112">
        <v>11000</v>
      </c>
    </row>
    <row r="86" spans="1:3" s="95" customFormat="1" ht="15" customHeight="1">
      <c r="A86" s="104" t="s">
        <v>91</v>
      </c>
      <c r="B86" s="102" t="s">
        <v>70</v>
      </c>
      <c r="C86" s="112">
        <v>7000</v>
      </c>
    </row>
    <row r="87" spans="1:3" s="95" customFormat="1" ht="15" customHeight="1">
      <c r="A87" s="103" t="s">
        <v>91</v>
      </c>
      <c r="B87" s="102" t="s">
        <v>70</v>
      </c>
      <c r="C87" s="112">
        <v>9500</v>
      </c>
    </row>
    <row r="88" spans="1:3" s="95" customFormat="1" ht="15" customHeight="1">
      <c r="A88" s="103" t="s">
        <v>91</v>
      </c>
      <c r="B88" s="102" t="s">
        <v>70</v>
      </c>
      <c r="C88" s="112">
        <v>9500</v>
      </c>
    </row>
    <row r="89" spans="1:3" s="95" customFormat="1" ht="15" customHeight="1">
      <c r="A89" s="104" t="s">
        <v>92</v>
      </c>
      <c r="B89" s="103" t="s">
        <v>57</v>
      </c>
      <c r="C89" s="112">
        <v>9500</v>
      </c>
    </row>
    <row r="90" spans="1:3" s="95" customFormat="1" ht="15" customHeight="1">
      <c r="A90" s="104" t="s">
        <v>93</v>
      </c>
      <c r="B90" s="102" t="s">
        <v>59</v>
      </c>
      <c r="C90" s="112">
        <v>5400</v>
      </c>
    </row>
    <row r="91" spans="1:3" s="95" customFormat="1" ht="15" customHeight="1">
      <c r="A91" s="104" t="s">
        <v>192</v>
      </c>
      <c r="B91" s="110" t="s">
        <v>57</v>
      </c>
      <c r="C91" s="112">
        <v>4200</v>
      </c>
    </row>
    <row r="92" spans="1:3" s="95" customFormat="1" ht="15" customHeight="1">
      <c r="A92" s="104" t="s">
        <v>193</v>
      </c>
      <c r="B92" s="110" t="s">
        <v>57</v>
      </c>
      <c r="C92" s="112">
        <v>4200</v>
      </c>
    </row>
    <row r="93" spans="1:3" s="95" customFormat="1" ht="15" customHeight="1">
      <c r="A93" s="104" t="s">
        <v>194</v>
      </c>
      <c r="B93" s="102" t="s">
        <v>57</v>
      </c>
      <c r="C93" s="112">
        <v>16000</v>
      </c>
    </row>
    <row r="94" spans="1:3" s="95" customFormat="1" ht="15" customHeight="1">
      <c r="A94" s="104" t="s">
        <v>195</v>
      </c>
      <c r="B94" s="82" t="s">
        <v>57</v>
      </c>
      <c r="C94" s="112">
        <v>5200</v>
      </c>
    </row>
    <row r="95" spans="1:3" s="95" customFormat="1" ht="15" customHeight="1">
      <c r="A95" s="104" t="s">
        <v>94</v>
      </c>
      <c r="B95" s="82" t="s">
        <v>60</v>
      </c>
      <c r="C95" s="112">
        <v>24000</v>
      </c>
    </row>
    <row r="96" spans="1:3" s="95" customFormat="1" ht="15" customHeight="1">
      <c r="A96" s="104" t="s">
        <v>96</v>
      </c>
      <c r="B96" s="102" t="s">
        <v>70</v>
      </c>
      <c r="C96" s="114">
        <v>3500</v>
      </c>
    </row>
    <row r="97" spans="1:3" s="95" customFormat="1" ht="15" customHeight="1">
      <c r="A97" s="104" t="s">
        <v>196</v>
      </c>
      <c r="B97" s="102" t="s">
        <v>70</v>
      </c>
      <c r="C97" s="114">
        <v>3400</v>
      </c>
    </row>
    <row r="98" spans="1:3" s="95" customFormat="1" ht="15" customHeight="1">
      <c r="A98" s="104" t="s">
        <v>197</v>
      </c>
      <c r="B98" s="102" t="s">
        <v>70</v>
      </c>
      <c r="C98" s="114">
        <v>5500</v>
      </c>
    </row>
    <row r="99" spans="1:3" s="95" customFormat="1" ht="15" customHeight="1">
      <c r="A99" s="104" t="s">
        <v>198</v>
      </c>
      <c r="B99" s="102" t="s">
        <v>70</v>
      </c>
      <c r="C99" s="114">
        <v>8000</v>
      </c>
    </row>
    <row r="100" spans="1:3" s="95" customFormat="1" ht="15" customHeight="1">
      <c r="A100" s="104" t="s">
        <v>199</v>
      </c>
      <c r="B100" s="102" t="s">
        <v>70</v>
      </c>
      <c r="C100" s="116">
        <v>12000</v>
      </c>
    </row>
    <row r="101" spans="1:3" s="95" customFormat="1" ht="15" customHeight="1">
      <c r="A101" s="104" t="s">
        <v>200</v>
      </c>
      <c r="B101" s="102" t="s">
        <v>70</v>
      </c>
      <c r="C101" s="116">
        <v>17500</v>
      </c>
    </row>
    <row r="102" spans="1:3" s="95" customFormat="1" ht="15" customHeight="1">
      <c r="A102" s="104" t="s">
        <v>201</v>
      </c>
      <c r="B102" s="111" t="s">
        <v>95</v>
      </c>
      <c r="C102" s="113">
        <v>170</v>
      </c>
    </row>
    <row r="103" spans="1:3" s="95" customFormat="1" ht="15" hidden="1" customHeight="1">
      <c r="A103" s="108" t="s">
        <v>128</v>
      </c>
      <c r="B103" s="82" t="s">
        <v>57</v>
      </c>
      <c r="C103" s="114"/>
    </row>
    <row r="104" spans="1:3" s="95" customFormat="1" ht="15" customHeight="1">
      <c r="A104" s="104" t="s">
        <v>202</v>
      </c>
      <c r="B104" s="103" t="s">
        <v>95</v>
      </c>
      <c r="C104" s="113">
        <v>210</v>
      </c>
    </row>
    <row r="105" spans="1:3" s="95" customFormat="1" ht="15" customHeight="1">
      <c r="A105" s="104" t="s">
        <v>203</v>
      </c>
      <c r="B105" s="103" t="s">
        <v>95</v>
      </c>
      <c r="C105" s="113">
        <v>230</v>
      </c>
    </row>
    <row r="106" spans="1:3" s="95" customFormat="1" ht="15" customHeight="1">
      <c r="A106" s="104" t="s">
        <v>204</v>
      </c>
      <c r="B106" s="103" t="s">
        <v>95</v>
      </c>
      <c r="C106" s="113">
        <v>750</v>
      </c>
    </row>
    <row r="107" spans="1:3" s="95" customFormat="1" ht="15" customHeight="1">
      <c r="A107" s="104" t="s">
        <v>205</v>
      </c>
      <c r="B107" s="103" t="s">
        <v>95</v>
      </c>
      <c r="C107" s="113">
        <v>450</v>
      </c>
    </row>
    <row r="108" spans="1:3">
      <c r="A108" s="121" t="s">
        <v>206</v>
      </c>
      <c r="B108" s="121" t="s">
        <v>48</v>
      </c>
      <c r="C108" s="121">
        <v>260</v>
      </c>
    </row>
    <row r="109" spans="1:3">
      <c r="A109" s="136" t="s">
        <v>207</v>
      </c>
      <c r="B109" s="107" t="s">
        <v>51</v>
      </c>
      <c r="C109" s="149">
        <v>6200</v>
      </c>
    </row>
    <row r="110" spans="1:3">
      <c r="A110" s="121" t="s">
        <v>208</v>
      </c>
      <c r="B110" s="107" t="s">
        <v>45</v>
      </c>
      <c r="C110" s="148">
        <v>48000</v>
      </c>
    </row>
    <row r="111" spans="1:3">
      <c r="A111" s="136" t="s">
        <v>209</v>
      </c>
      <c r="B111" s="107" t="s">
        <v>46</v>
      </c>
      <c r="C111" s="148">
        <v>11200</v>
      </c>
    </row>
    <row r="112" spans="1:3">
      <c r="A112" s="153" t="s">
        <v>215</v>
      </c>
      <c r="B112" s="107" t="s">
        <v>57</v>
      </c>
      <c r="C112" s="148">
        <v>41000</v>
      </c>
    </row>
    <row r="113" spans="1:3">
      <c r="A113" s="153" t="s">
        <v>216</v>
      </c>
      <c r="B113" s="107" t="s">
        <v>57</v>
      </c>
      <c r="C113" s="148">
        <v>41000</v>
      </c>
    </row>
    <row r="114" spans="1:3">
      <c r="A114" s="153" t="s">
        <v>210</v>
      </c>
      <c r="B114" s="107" t="s">
        <v>211</v>
      </c>
      <c r="C114" s="148">
        <v>2600</v>
      </c>
    </row>
    <row r="115" spans="1:3">
      <c r="A115" s="153" t="s">
        <v>235</v>
      </c>
      <c r="B115" s="107" t="s">
        <v>62</v>
      </c>
      <c r="C115" s="148">
        <v>28500</v>
      </c>
    </row>
    <row r="116" spans="1:3">
      <c r="A116" s="153" t="s">
        <v>236</v>
      </c>
      <c r="B116" s="107" t="s">
        <v>90</v>
      </c>
      <c r="C116" s="148">
        <v>72000</v>
      </c>
    </row>
    <row r="117" spans="1:3">
      <c r="A117" s="153" t="s">
        <v>237</v>
      </c>
      <c r="B117" s="107" t="s">
        <v>90</v>
      </c>
      <c r="C117" s="148">
        <v>99000</v>
      </c>
    </row>
    <row r="118" spans="1:3">
      <c r="A118" s="153" t="s">
        <v>240</v>
      </c>
      <c r="B118" s="107" t="s">
        <v>48</v>
      </c>
      <c r="C118" s="148">
        <v>2500</v>
      </c>
    </row>
    <row r="119" spans="1:3">
      <c r="A119" s="153" t="s">
        <v>241</v>
      </c>
      <c r="B119" s="107" t="s">
        <v>48</v>
      </c>
      <c r="C119" s="148">
        <v>2000</v>
      </c>
    </row>
    <row r="120" spans="1:3">
      <c r="A120" s="153" t="s">
        <v>242</v>
      </c>
      <c r="B120" s="107" t="s">
        <v>48</v>
      </c>
      <c r="C120" s="148">
        <v>3500</v>
      </c>
    </row>
    <row r="121" spans="1:3">
      <c r="A121" s="153" t="s">
        <v>247</v>
      </c>
      <c r="B121" s="107" t="s">
        <v>55</v>
      </c>
      <c r="C121" s="148">
        <v>8000</v>
      </c>
    </row>
    <row r="122" spans="1:3">
      <c r="A122" s="153" t="s">
        <v>248</v>
      </c>
      <c r="B122" s="107" t="s">
        <v>57</v>
      </c>
      <c r="C122" s="148">
        <v>11000</v>
      </c>
    </row>
  </sheetData>
  <autoFilter ref="A1:C113">
    <filterColumn colId="2">
      <customFilters>
        <customFilter operator="greaterThan" val="0"/>
      </customFilters>
    </filterColumn>
  </autoFilter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PO GUI PHUNG</vt:lpstr>
      <vt:lpstr>PO IN RA TRINH KI</vt:lpstr>
      <vt:lpstr>LOC SO LUONG-TRINH KI</vt:lpstr>
      <vt:lpstr>THONG KE</vt:lpstr>
      <vt:lpstr>DATA</vt:lpstr>
      <vt:lpstr>'PO GUI PHUNG'!Print_Area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2016-09-26T08:27:50Z</dcterms:modified>
</cp:coreProperties>
</file>